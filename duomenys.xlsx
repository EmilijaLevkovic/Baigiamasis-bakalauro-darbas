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Desktop\Bakalauro darbas\"/>
    </mc:Choice>
  </mc:AlternateContent>
  <xr:revisionPtr revIDLastSave="0" documentId="13_ncr:1_{DC3DEBDD-9979-450F-8977-CDE4D349C2DB}" xr6:coauthVersionLast="47" xr6:coauthVersionMax="47" xr10:uidLastSave="{00000000-0000-0000-0000-000000000000}"/>
  <bookViews>
    <workbookView xWindow="-110" yWindow="-110" windowWidth="19420" windowHeight="11500" xr2:uid="{3592163C-FD59-4258-97C4-6E0FECE22D54}"/>
  </bookViews>
  <sheets>
    <sheet name="Duomenys metiniai bakalaurui" sheetId="14" r:id="rId1"/>
    <sheet name="Bruto viesasis sektorius" sheetId="15" r:id="rId2"/>
    <sheet name="Duomenys metiniai" sheetId="4" r:id="rId3"/>
    <sheet name="Amžiaus koeficientas" sheetId="3" r:id="rId4"/>
    <sheet name="Autobusai" sheetId="7" r:id="rId5"/>
    <sheet name="Autobusu keleiviai" sheetId="8" r:id="rId6"/>
    <sheet name="Mokinių sk." sheetId="9" r:id="rId7"/>
    <sheet name="Pirmokų amžius" sheetId="12" r:id="rId8"/>
    <sheet name="Dvyliktoku amžius" sheetId="13" r:id="rId9"/>
    <sheet name="Patekimas į mokyklas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5" l="1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2" i="15"/>
  <c r="O2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C28" i="13"/>
  <c r="E28" i="13" s="1"/>
  <c r="D28" i="13" s="1"/>
  <c r="B28" i="13"/>
  <c r="B19" i="12"/>
  <c r="C19" i="12"/>
  <c r="D23" i="13"/>
  <c r="E3" i="13"/>
  <c r="D3" i="13" s="1"/>
  <c r="E4" i="13"/>
  <c r="D4" i="13" s="1"/>
  <c r="E5" i="13"/>
  <c r="D5" i="13" s="1"/>
  <c r="E6" i="13"/>
  <c r="D6" i="13" s="1"/>
  <c r="E7" i="13"/>
  <c r="D7" i="13" s="1"/>
  <c r="E8" i="13"/>
  <c r="D8" i="13" s="1"/>
  <c r="E9" i="13"/>
  <c r="D9" i="13" s="1"/>
  <c r="E10" i="13"/>
  <c r="D10" i="13" s="1"/>
  <c r="E11" i="13"/>
  <c r="D11" i="13" s="1"/>
  <c r="E12" i="13"/>
  <c r="D12" i="13" s="1"/>
  <c r="E13" i="13"/>
  <c r="D13" i="13" s="1"/>
  <c r="E14" i="13"/>
  <c r="D14" i="13" s="1"/>
  <c r="E15" i="13"/>
  <c r="D15" i="13" s="1"/>
  <c r="E16" i="13"/>
  <c r="D16" i="13" s="1"/>
  <c r="E17" i="13"/>
  <c r="D17" i="13" s="1"/>
  <c r="E18" i="13"/>
  <c r="D18" i="13" s="1"/>
  <c r="E19" i="13"/>
  <c r="D19" i="13" s="1"/>
  <c r="E20" i="13"/>
  <c r="D20" i="13" s="1"/>
  <c r="E21" i="13"/>
  <c r="D21" i="13" s="1"/>
  <c r="E22" i="13"/>
  <c r="D22" i="13" s="1"/>
  <c r="E23" i="13"/>
  <c r="E24" i="13"/>
  <c r="D24" i="13" s="1"/>
  <c r="E25" i="13"/>
  <c r="D25" i="13" s="1"/>
  <c r="E26" i="13"/>
  <c r="D26" i="13" s="1"/>
  <c r="E27" i="13"/>
  <c r="D27" i="13" s="1"/>
  <c r="X8" i="9"/>
  <c r="X3" i="9"/>
  <c r="X4" i="9"/>
  <c r="X5" i="9"/>
  <c r="X6" i="9"/>
  <c r="X7" i="9"/>
  <c r="X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tc={DBAA54D7-EEB1-48A8-B797-5014B2CAB83C}</author>
  </authors>
  <commentList>
    <comment ref="O1" authorId="0" shapeId="0" xr:uid="{DBAA54D7-EEB1-48A8-B797-5014B2CAB83C}">
      <text>
        <t>[Threaded comment]
Your version of Excel allows you to read this threaded comment; however, any edits to it will get removed if the file is opened in a newer version of Excel. Learn more: https://go.microsoft.com/fwlink/?linkid=870924
Comment:
    Atnaujintas (suvidurkinti tris kvartiliai tik viesojo sektoriaus)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tc={F63F194B-BD92-4763-9EF3-3342D9739AE4}</author>
  </authors>
  <commentList>
    <comment ref="L1" authorId="0" shapeId="0" xr:uid="{F63F194B-BD92-4763-9EF3-3342D9739AE4}">
      <text>
        <t>[Threaded comment]
Your version of Excel allows you to read this threaded comment; however, any edits to it will get removed if the file is opened in a newer version of Excel. Learn more: https://go.microsoft.com/fwlink/?linkid=870924
Comment:
    1000 gyventojų</t>
      </text>
    </comment>
  </commentList>
</comments>
</file>

<file path=xl/sharedStrings.xml><?xml version="1.0" encoding="utf-8"?>
<sst xmlns="http://schemas.openxmlformats.org/spreadsheetml/2006/main" count="4712" uniqueCount="373">
  <si>
    <t>Gimusių kūdikių sk.</t>
  </si>
  <si>
    <t>Mirusių sk.</t>
  </si>
  <si>
    <t>Nuolatinių gyventojų sk.</t>
  </si>
  <si>
    <t>Iki 14 metų</t>
  </si>
  <si>
    <t>65 ir vyresni</t>
  </si>
  <si>
    <t>Senatvės koeficientas vyrai</t>
  </si>
  <si>
    <t>Senatvės koeficientas moterys</t>
  </si>
  <si>
    <t>Senatvės koeficientas (viso)</t>
  </si>
  <si>
    <t>Gyventojų tankis</t>
  </si>
  <si>
    <t>Vidutinis gyventojų sk.</t>
  </si>
  <si>
    <t>Gyventojų kaita</t>
  </si>
  <si>
    <t>Gimstamumo rodiklis</t>
  </si>
  <si>
    <t>Atvykusieji ir imigrantai</t>
  </si>
  <si>
    <t>Išvykusieji ir emigrantai</t>
  </si>
  <si>
    <t>Užimtumo lygis bendras</t>
  </si>
  <si>
    <t>Užimtumo lygis vyrai</t>
  </si>
  <si>
    <t>Užimtumo lygis moterys</t>
  </si>
  <si>
    <t>Vilniaus Maironio progimnazija</t>
  </si>
  <si>
    <t>Įstaiga</t>
  </si>
  <si>
    <t>Klasė</t>
  </si>
  <si>
    <t>Kalba</t>
  </si>
  <si>
    <t>Vietų skaičius</t>
  </si>
  <si>
    <t>Laisvų vietų skaičius</t>
  </si>
  <si>
    <t>Pateikta prašymų iš viso</t>
  </si>
  <si>
    <t>Pateikta</t>
  </si>
  <si>
    <t>Laukia tėvų patvirtinimo</t>
  </si>
  <si>
    <t>Atšaukta</t>
  </si>
  <si>
    <t>Laukiama sutarties pasirašymo</t>
  </si>
  <si>
    <t>Sutartis pasirašyta</t>
  </si>
  <si>
    <t>Laukia_pasirašymo+pasirašyta</t>
  </si>
  <si>
    <t>Vilniaus Petro Vileišio progimnazija</t>
  </si>
  <si>
    <t>lt</t>
  </si>
  <si>
    <t>Vilniaus Pilaitės gimnazija</t>
  </si>
  <si>
    <t>Vilniaus Žvėryno gimnazija</t>
  </si>
  <si>
    <t>Vilniaus Žygimanto Augusto progimnazija</t>
  </si>
  <si>
    <t>Vilniaus Žirmūnų gimnazija</t>
  </si>
  <si>
    <t>Vilniaus Žėručio pradinė mokykla</t>
  </si>
  <si>
    <t>Vilniaus Žemynos progimnazija</t>
  </si>
  <si>
    <t>Vilniaus Žemynos gimnazija</t>
  </si>
  <si>
    <t>Vilniaus Žaliakalnio darželis-mokykla</t>
  </si>
  <si>
    <t>pl</t>
  </si>
  <si>
    <t>Vilniaus Vytės Nemunėlio pradinė mokykla</t>
  </si>
  <si>
    <t>Vilniaus Vytauto Didžiojo gimnazija (Tarptautinis bakalaureatas anglų k.)</t>
  </si>
  <si>
    <t>en</t>
  </si>
  <si>
    <t>Vilniaus Vytauto Didžiojo gimnazija</t>
  </si>
  <si>
    <t>Vilniaus Vytauto Didžiojo gimnazija (filialas Telšių g. 2)</t>
  </si>
  <si>
    <t>Vilniaus Vydūno progimnazija</t>
  </si>
  <si>
    <t>Vilniaus Volungės darželis-mokykla</t>
  </si>
  <si>
    <t>Vilniaus Vladislavo Sirokomlės gimnazija</t>
  </si>
  <si>
    <t>Vilniaus Viršuliškių mokykla (specialioji klasė)</t>
  </si>
  <si>
    <t>Vilniaus Viršuliškių mokykla</t>
  </si>
  <si>
    <t>Vilniaus Verkių mokykla-daugiafunkcis centras</t>
  </si>
  <si>
    <t>ru</t>
  </si>
  <si>
    <t>Vilniaus Vasilijaus Kačialovo gimnazija</t>
  </si>
  <si>
    <t>Vilniaus Vaduvos darželis-mokykla</t>
  </si>
  <si>
    <t>Vilniaus Užupio gimnazija</t>
  </si>
  <si>
    <t>Vilniaus Tuskulėnų gimnazija</t>
  </si>
  <si>
    <t>Vilniaus Trakų Vokės gimnazija</t>
  </si>
  <si>
    <t>Vilniaus Taikos progimnazija</t>
  </si>
  <si>
    <t>Vilniaus šv. Kristoforo progimnazija</t>
  </si>
  <si>
    <t>Vilniaus šv. Kristoforo gimnazija</t>
  </si>
  <si>
    <t>Vilniaus Šv. Jono Pauliaus II gimnazija</t>
  </si>
  <si>
    <t>Vilniaus suaugusiųjų mokymo centras</t>
  </si>
  <si>
    <t>Vilniaus Šolomo Aleichemo ORT gimnazija</t>
  </si>
  <si>
    <t>Vilniaus Sofijos Kovalevskajos progimnazija</t>
  </si>
  <si>
    <t>Vilniaus Simono Stanevičiaus progimnazija</t>
  </si>
  <si>
    <t>Vilniaus Simono Konarskio gimnazija</t>
  </si>
  <si>
    <t>Vilniaus Simono Daukanto progimnazija</t>
  </si>
  <si>
    <t>Vilniaus Simono Daukanto gimnazija</t>
  </si>
  <si>
    <t>Vilniaus Šilo ugdymo centras</t>
  </si>
  <si>
    <t>Vilniaus Šeškinės pradinė mokykla (specialioji klasė) (dėl planuojamų renovacijos darbų ugdymo veikla laikinai vyks kitu adresu)</t>
  </si>
  <si>
    <t>Vilniaus Šeškinės pradinė mokykla (dėl planuojamų renovacijos darbų ugdymo veikla laikinai vyks kitu adresu)</t>
  </si>
  <si>
    <t>Vilniaus Senvagės gimnazija</t>
  </si>
  <si>
    <t>Vilniaus savivaldybės Grigiškių gimnazija</t>
  </si>
  <si>
    <t>Vilniaus savivaldybės Grigiškių "Šviesos" gimnazija</t>
  </si>
  <si>
    <t>Vilniaus Sausio 13-osios progimnazija (specialioji klasė)</t>
  </si>
  <si>
    <t>Vilniaus Sausio 13-osios progimnazija</t>
  </si>
  <si>
    <t>Vilniaus Saulėtekio mokykla-daugiafunkcinis centras</t>
  </si>
  <si>
    <t>Vilniaus Salininkų gimnazija</t>
  </si>
  <si>
    <t>Vilniaus Ryto progimnazija</t>
  </si>
  <si>
    <t>Vilniaus Radvilų gimnazija</t>
  </si>
  <si>
    <t>Vilniaus Prano Mašioto pradinė mokykla</t>
  </si>
  <si>
    <t>Vilniaus Pranciškaus Skorinos gimnazija</t>
  </si>
  <si>
    <t>be</t>
  </si>
  <si>
    <t>Vilniaus Pavilnio progimnazija</t>
  </si>
  <si>
    <t>Vilniaus Pavilnio pagrindinė mokykla</t>
  </si>
  <si>
    <t>Vilniaus Ozo gimnazija</t>
  </si>
  <si>
    <t>Vilniaus Naujininkų progimnazija</t>
  </si>
  <si>
    <t>Vilniaus Naujamiesčio mokykla</t>
  </si>
  <si>
    <t>Vilniaus Mykolo Biržiškos gimnazija</t>
  </si>
  <si>
    <t>Vilniaus Medeinos pradinė mokykla  (specialioji klasė)</t>
  </si>
  <si>
    <t>Vilniaus Medeinos pradinė mokykla</t>
  </si>
  <si>
    <t>Vilniaus Martyno Mažvydo progimnazija</t>
  </si>
  <si>
    <t>Vilniaus Liepkalnio mokykla</t>
  </si>
  <si>
    <t>Vilniaus licėjus (Tarptautinis bakalaureatas anglų k.)</t>
  </si>
  <si>
    <t>Vilniaus licėjus</t>
  </si>
  <si>
    <t>Vilniaus Levo Karsavino mokykla</t>
  </si>
  <si>
    <t>Vilniaus Lazdynų mokykla</t>
  </si>
  <si>
    <t>Vilniaus kunigaikščio Gedimino progimnazija</t>
  </si>
  <si>
    <t>Vilniaus Karoliniškių gimnazija</t>
  </si>
  <si>
    <t>Vilniaus karaliaus Mindaugo mokykla (specialioji klasė)</t>
  </si>
  <si>
    <t>Vilniaus karaliaus Mindaugo mokykla</t>
  </si>
  <si>
    <t>Vilniaus Juzefo Ignacijaus Kraševskio gimnazija</t>
  </si>
  <si>
    <t>Vilniaus Jono Pauliaus II progimnazija (specialioji klasė)</t>
  </si>
  <si>
    <t>Vilniaus Jono Pauliaus II progimnazija</t>
  </si>
  <si>
    <t>Vilniaus Jono Ivaškevičiaus jaunimo mokykla</t>
  </si>
  <si>
    <t>Vilniaus Jono Basanavičiaus progimnazija</t>
  </si>
  <si>
    <t>Vilniaus Jono Basanavičiaus gimnazija</t>
  </si>
  <si>
    <t>Vilniaus Joachimo Lelevelio inžinerijos gimnazija</t>
  </si>
  <si>
    <t>Vilniaus Jeruzalės progimnazija</t>
  </si>
  <si>
    <t>Vilniaus Gedimino technikos universiteto inžinerijos licėjus</t>
  </si>
  <si>
    <t>Vilniaus Gerosios Vilties progimnazija</t>
  </si>
  <si>
    <t>Vilniaus Gabrielės Petkevičaitės-Bitės suaugusiųjų mokymo centras</t>
  </si>
  <si>
    <t>Vilniaus Gabijos progimnazija</t>
  </si>
  <si>
    <t>Vilniaus Gabijos gimnazija</t>
  </si>
  <si>
    <t>Vilniaus Filaretų pradinė mokykla</t>
  </si>
  <si>
    <t>Vilniaus Fabijoniškių gimnazija (sporto ir sveikatinimo samprata) (dėl planuojamų renovacijos darbų ugdymo veikla laikinai vyks kitu adresu)</t>
  </si>
  <si>
    <t>Vilniaus Fabijoniškių gimnazija (dėl planuojamų renovacijos darbų ugdymo veikla laikinai vyks kitu adresu)</t>
  </si>
  <si>
    <t>Vilniaus Emilijos Pliaterytės progimnazija</t>
  </si>
  <si>
    <t>Vilniaus darželis-mokykla „Vilija“</t>
  </si>
  <si>
    <t>Vilniaus darželis-mokykla „Svaja“</t>
  </si>
  <si>
    <t>Vilniaus darželis-mokykla „Šaltinėlis“</t>
  </si>
  <si>
    <t>Vilniaus darželis-mokykla „Dainorėliai“</t>
  </si>
  <si>
    <t>Vilniaus darželis-mokykla „Lokiukas“</t>
  </si>
  <si>
    <t>Vilniaus darželis - mokykla „Saulutė“</t>
  </si>
  <si>
    <t>Vilniaus darželis - mokykla „Vaivorykštė“</t>
  </si>
  <si>
    <t>Vilniaus Barboros Radvilaitės progimnazija</t>
  </si>
  <si>
    <t>Vilniaus Baltupių progimnazija</t>
  </si>
  <si>
    <t>Vilniaus Balsių progimnazija</t>
  </si>
  <si>
    <t>Vilniaus Antano Vienuolio progimnazija</t>
  </si>
  <si>
    <t>Vilniaus Antakalnio progimnazija</t>
  </si>
  <si>
    <t>Vilniaus Antakalnio pradinė mokykla</t>
  </si>
  <si>
    <t>Vilniaus Antakalnio gimnazija</t>
  </si>
  <si>
    <t>Vilniaus Aleksandro Puškino gimnazija</t>
  </si>
  <si>
    <t>Vilniaus Adomo Mickevičiaus licėjus</t>
  </si>
  <si>
    <t>Vilniaus Abraomo Kulviečio klasikinė gimnazija</t>
  </si>
  <si>
    <t>Vilniaus „Vyčio“ gimnazija</t>
  </si>
  <si>
    <t>Vilniaus „Vilties“ specialioji mokykla-daugiafunkcinis centras</t>
  </si>
  <si>
    <t>Vilniaus „Spindulio“ progimnazija</t>
  </si>
  <si>
    <t>Vilniaus „Šiaurės“ progimnazija</t>
  </si>
  <si>
    <t>Vilniaus „Pelėdos” pradinė mokykla</t>
  </si>
  <si>
    <t>Vilniaus „Aušros“ mokykla-darželis</t>
  </si>
  <si>
    <t>Vilniaus „Atžalyno“ mokykla-darželis</t>
  </si>
  <si>
    <t>Vilniaus „Ateities“ mokykla</t>
  </si>
  <si>
    <t>Vilniaus "Židinio" suaugusiųjų gimnazija</t>
  </si>
  <si>
    <t>Vilniaus "Žiburio" pradinė mokykla</t>
  </si>
  <si>
    <t>Vilniaus "Žaros" gimnazija</t>
  </si>
  <si>
    <t>Vilniaus "Vyturio" pradinė mokykla (dėl planuojamų renovacijos darbų ugdymo veikla laikinai vyks kitu adresu)</t>
  </si>
  <si>
    <t>Vilniaus "Varpo" suaugusiųjų gimnazija</t>
  </si>
  <si>
    <t>Vilniaus "Šviesos" pradinė mokykla</t>
  </si>
  <si>
    <t>Vilniaus "Sostinės" gimnazija</t>
  </si>
  <si>
    <t>Vilniaus "Sietuvos" progimnazija</t>
  </si>
  <si>
    <t>Vilniaus "Santaros" gimnazija</t>
  </si>
  <si>
    <t>Vilniaus "Minties" gimnazija</t>
  </si>
  <si>
    <t>Vilniaus "Laisvės" gimnazija</t>
  </si>
  <si>
    <t>Vilniaus "Juventos" gimnazija</t>
  </si>
  <si>
    <t>Vilniaus "Gijos" jaunimo mokykla</t>
  </si>
  <si>
    <t>Vilniaus "Ąžuolyno" progimnazija</t>
  </si>
  <si>
    <t>Vilniaus "Atgajos" specialioji mokykla (specialioji mokykla)</t>
  </si>
  <si>
    <t>Metai</t>
  </si>
  <si>
    <t xml:space="preserve">Iš viso </t>
  </si>
  <si>
    <t>Max keleivių sk.</t>
  </si>
  <si>
    <t>route_short_name</t>
  </si>
  <si>
    <t>"5G"</t>
  </si>
  <si>
    <t>"3G"</t>
  </si>
  <si>
    <t>"10"</t>
  </si>
  <si>
    <t>"1G"</t>
  </si>
  <si>
    <t>"6G"</t>
  </si>
  <si>
    <t>"46"</t>
  </si>
  <si>
    <t>"53"</t>
  </si>
  <si>
    <t>"4G"</t>
  </si>
  <si>
    <t>"2G"</t>
  </si>
  <si>
    <t>"24"</t>
  </si>
  <si>
    <t>"36"</t>
  </si>
  <si>
    <t>"7"</t>
  </si>
  <si>
    <t>"31"</t>
  </si>
  <si>
    <t>"12"</t>
  </si>
  <si>
    <t>"21"</t>
  </si>
  <si>
    <t>Valanda</t>
  </si>
  <si>
    <t>"66"</t>
  </si>
  <si>
    <t>"T2"</t>
  </si>
  <si>
    <t>"55"</t>
  </si>
  <si>
    <t>"56"</t>
  </si>
  <si>
    <t>"22"</t>
  </si>
  <si>
    <t>"63"</t>
  </si>
  <si>
    <t>"29"</t>
  </si>
  <si>
    <t>"T7"</t>
  </si>
  <si>
    <t>"16"</t>
  </si>
  <si>
    <t>"75"</t>
  </si>
  <si>
    <t>"87"</t>
  </si>
  <si>
    <t>"T3"</t>
  </si>
  <si>
    <t>"T18"</t>
  </si>
  <si>
    <t>"30"</t>
  </si>
  <si>
    <t>"42"</t>
  </si>
  <si>
    <t>"43"</t>
  </si>
  <si>
    <t>"59"</t>
  </si>
  <si>
    <t>"T4"</t>
  </si>
  <si>
    <t>"49"</t>
  </si>
  <si>
    <t>"N4"</t>
  </si>
  <si>
    <t>"52"</t>
  </si>
  <si>
    <t>"T19"</t>
  </si>
  <si>
    <t>"T17"</t>
  </si>
  <si>
    <t>"76"</t>
  </si>
  <si>
    <t>"T9"</t>
  </si>
  <si>
    <t>"78"</t>
  </si>
  <si>
    <t>"T16"</t>
  </si>
  <si>
    <t>"T10"</t>
  </si>
  <si>
    <t>"54"</t>
  </si>
  <si>
    <t>"T1"</t>
  </si>
  <si>
    <t>"50"</t>
  </si>
  <si>
    <t>"74"</t>
  </si>
  <si>
    <t>"3G-A"</t>
  </si>
  <si>
    <t>"68"</t>
  </si>
  <si>
    <t>"37"</t>
  </si>
  <si>
    <t>"34"</t>
  </si>
  <si>
    <t>"69"</t>
  </si>
  <si>
    <t>"T12"</t>
  </si>
  <si>
    <t>"T6"</t>
  </si>
  <si>
    <t>"73"</t>
  </si>
  <si>
    <t>"18"</t>
  </si>
  <si>
    <t>"19"</t>
  </si>
  <si>
    <t>"5"</t>
  </si>
  <si>
    <t>"23"</t>
  </si>
  <si>
    <t>"32"</t>
  </si>
  <si>
    <t>"39"</t>
  </si>
  <si>
    <t>"40"</t>
  </si>
  <si>
    <t>"T20"</t>
  </si>
  <si>
    <t>"2"</t>
  </si>
  <si>
    <t>"33"</t>
  </si>
  <si>
    <t>"82"</t>
  </si>
  <si>
    <t>"35"</t>
  </si>
  <si>
    <t>"115"</t>
  </si>
  <si>
    <t>"27"</t>
  </si>
  <si>
    <t>"3"</t>
  </si>
  <si>
    <t>"67"</t>
  </si>
  <si>
    <t>"4"</t>
  </si>
  <si>
    <t>"58"</t>
  </si>
  <si>
    <t>"114"</t>
  </si>
  <si>
    <t>"48"</t>
  </si>
  <si>
    <t>"17"</t>
  </si>
  <si>
    <t>"25"</t>
  </si>
  <si>
    <t>"14"</t>
  </si>
  <si>
    <t>"120"</t>
  </si>
  <si>
    <t>"8"</t>
  </si>
  <si>
    <t>"T15"</t>
  </si>
  <si>
    <t>"N3"</t>
  </si>
  <si>
    <t>"51"</t>
  </si>
  <si>
    <t>"1"</t>
  </si>
  <si>
    <t>"57"</t>
  </si>
  <si>
    <t>"41"</t>
  </si>
  <si>
    <t>"65"</t>
  </si>
  <si>
    <t>"88"</t>
  </si>
  <si>
    <t>"20"</t>
  </si>
  <si>
    <t>"38"</t>
  </si>
  <si>
    <t>"94"</t>
  </si>
  <si>
    <t>"119"</t>
  </si>
  <si>
    <t>"122"</t>
  </si>
  <si>
    <t>"118"</t>
  </si>
  <si>
    <t>"28"</t>
  </si>
  <si>
    <t>"116"</t>
  </si>
  <si>
    <t>"26"</t>
  </si>
  <si>
    <t>"T21"</t>
  </si>
  <si>
    <t>"13"</t>
  </si>
  <si>
    <t>"61"</t>
  </si>
  <si>
    <t>"62"</t>
  </si>
  <si>
    <t>"89"</t>
  </si>
  <si>
    <t>"117"</t>
  </si>
  <si>
    <t>"123"</t>
  </si>
  <si>
    <t>"15"</t>
  </si>
  <si>
    <t>"125"</t>
  </si>
  <si>
    <t>"11"</t>
  </si>
  <si>
    <t>"9"</t>
  </si>
  <si>
    <t>"86"</t>
  </si>
  <si>
    <t>"121"</t>
  </si>
  <si>
    <t>Skurdo rizikos lygis</t>
  </si>
  <si>
    <t>Bruto vidutinis atlyginimas</t>
  </si>
  <si>
    <t>BVP vienam gyventojui</t>
  </si>
  <si>
    <t>Amžiaus koeficientas (viso)</t>
  </si>
  <si>
    <t>5G</t>
  </si>
  <si>
    <t>3G</t>
  </si>
  <si>
    <t>1G</t>
  </si>
  <si>
    <t>6G</t>
  </si>
  <si>
    <t>4G</t>
  </si>
  <si>
    <t>2G</t>
  </si>
  <si>
    <t>Stotelė</t>
  </si>
  <si>
    <t>X</t>
  </si>
  <si>
    <t>Y</t>
  </si>
  <si>
    <t>Lizdeikos st.</t>
  </si>
  <si>
    <t>Dariaus ir Girėno st.</t>
  </si>
  <si>
    <t>Mykolo Romerio universitetas</t>
  </si>
  <si>
    <t>Kalvarijų turgus</t>
  </si>
  <si>
    <t>Polocko st.</t>
  </si>
  <si>
    <t>Pašilaičių žiedas</t>
  </si>
  <si>
    <t>Pramogų arena</t>
  </si>
  <si>
    <t>Papilėnų st.</t>
  </si>
  <si>
    <t>Lazdynai</t>
  </si>
  <si>
    <t>Šeškinė</t>
  </si>
  <si>
    <t>Neto migracija</t>
  </si>
  <si>
    <t>Rodunios kelias</t>
  </si>
  <si>
    <t>Eišiškių plentas</t>
  </si>
  <si>
    <t>Liudo Giros st.</t>
  </si>
  <si>
    <t>Antano Jonyno st.</t>
  </si>
  <si>
    <t>Kaimelio žiedas</t>
  </si>
  <si>
    <t>Kaimelio st.</t>
  </si>
  <si>
    <t>Buivydiškių st.</t>
  </si>
  <si>
    <t>Rygos st.</t>
  </si>
  <si>
    <t>Čiobiškio st.</t>
  </si>
  <si>
    <t>Vilniaus rajono poliklinika</t>
  </si>
  <si>
    <t>Žemynos st.</t>
  </si>
  <si>
    <t>Juliaus Juzeliūno st.</t>
  </si>
  <si>
    <t>Pašilaičiai</t>
  </si>
  <si>
    <t>Gabijos st.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</si>
  <si>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</si>
  <si>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</si>
  <si>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</si>
  <si>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</si>
  <si>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</si>
  <si>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</si>
  <si>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</si>
  <si>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</si>
  <si>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</si>
  <si>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</si>
  <si>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</si>
  <si>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</si>
  <si>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</si>
  <si>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</si>
  <si>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</si>
  <si>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</si>
  <si>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</si>
  <si>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Mokslo metai</t>
  </si>
  <si>
    <t>2025-2026</t>
  </si>
  <si>
    <t>2007-2008</t>
  </si>
  <si>
    <t>2006-2007</t>
  </si>
  <si>
    <t>2005-2006</t>
  </si>
  <si>
    <t>2004-2005</t>
  </si>
  <si>
    <t>2003-2004</t>
  </si>
  <si>
    <t>2002-2003</t>
  </si>
  <si>
    <t>2001-2002</t>
  </si>
  <si>
    <t>2000-2001</t>
  </si>
  <si>
    <t>Vidurkis</t>
  </si>
  <si>
    <t>Amžius</t>
  </si>
  <si>
    <t>1-oje klaseje mokesi</t>
  </si>
  <si>
    <t>12-oje klaseje mokesi</t>
  </si>
  <si>
    <t>Pradzia</t>
  </si>
  <si>
    <t>Pabaiga</t>
  </si>
  <si>
    <t>Pokytis</t>
  </si>
  <si>
    <t>Vidutinis pokytis:</t>
  </si>
  <si>
    <t>18</t>
  </si>
  <si>
    <t>19</t>
  </si>
  <si>
    <t>19m. Vaikų dalis</t>
  </si>
  <si>
    <t>Iš viso</t>
  </si>
  <si>
    <t>6m. Vaikų dalis</t>
  </si>
  <si>
    <t>Pirmas kvartilis</t>
  </si>
  <si>
    <t>Antras kvartilis</t>
  </si>
  <si>
    <t>Trečias kvartilis</t>
  </si>
  <si>
    <t>Bruto darbo užmokestis (mėnesinis, kvartiliai)  spalio mėn. (darbuotojų, dirbusių visą darbo laiką) | EUR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</si>
  <si>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</si>
  <si>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</si>
  <si>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</si>
  <si>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</si>
  <si>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</si>
  <si>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</si>
  <si>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</si>
  <si>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</si>
  <si>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</si>
  <si>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</si>
  <si>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</si>
  <si>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</si>
  <si>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</si>
  <si>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</si>
  <si>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</si>
  <si>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</si>
  <si>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metiniai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</si>
</sst>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_ ;\-0\ "/>
    <numFmt numFmtId="165" formatCode="0.0000"/>
    <numFmt numFmtId="166" formatCode="0.000"/>
  </numFmts>
  <fonts count="19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1C1C1C"/>
      <name val="SegoeUI"/>
      <family val="2"/>
    </font>
    <font>
      <sz val="10"/>
      <color rgb="FF656565"/>
      <name val="SegoeUI"/>
      <family val="2"/>
    </font>
    <font>
      <sz val="10"/>
      <color rgb="FF1C1C1C"/>
      <name val="SegoeUI"/>
      <family val="2"/>
    </font>
    <font>
      <sz val="10"/>
      <name val="Arial"/>
      <family val="2"/>
    </font>
    <font>
      <sz val="10"/>
      <name val="Aptos Narrow"/>
      <family val="2"/>
      <charset val="186"/>
      <scheme val="minor"/>
    </font>
    <font>
      <u/>
      <sz val="11"/>
      <color theme="10"/>
      <name val="Aptos Narrow"/>
      <family val="2"/>
      <charset val="186"/>
      <scheme val="minor"/>
    </font>
    <font>
      <sz val="7"/>
      <color rgb="FF1F3A93"/>
      <name val="Segoe UI"/>
      <family val="2"/>
    </font>
    <font>
      <sz val="11"/>
      <color theme="1"/>
      <name val="Aptos Narrow"/>
      <family val="2"/>
      <charset val="186"/>
      <scheme val="minor"/>
    </font>
    <font>
      <sz val="10"/>
      <name val="SegoeUI"/>
      <family val="2"/>
    </font>
    <font>
      <sz val="11"/>
      <name val="Aptos Narrow"/>
      <family val="2"/>
      <charset val="186"/>
      <scheme val="minor"/>
    </font>
    <font>
      <b/>
      <sz val="10"/>
      <name val="SegoeUI"/>
      <family val="2"/>
    </font>
    <font>
      <sz val="8"/>
      <name val="Aptos Narrow"/>
      <family val="2"/>
      <charset val="186"/>
      <scheme val="minor"/>
    </font>
    <font>
      <sz val="10"/>
      <name val="SegoeUI"/>
      <family val="2"/>
      <charset val="186"/>
    </font>
    <font>
      <b/>
      <sz val="11"/>
      <name val="Aptos Narrow"/>
      <family val="2"/>
      <scheme val="minor"/>
    </font>
    <font>
      <b/>
      <sz val="10"/>
      <name val="SegoeUI"/>
      <family val="2"/>
      <charset val="186"/>
    </font>
    <font>
      <b/>
      <sz val="11"/>
      <name val="Aptos Narrow"/>
      <family val="2"/>
      <charset val="18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</patternFill>
    </fill>
    <fill>
      <patternFill patternType="solid">
        <fgColor rgb="FFF4F4F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ACACA"/>
      </right>
      <top/>
      <bottom style="medium">
        <color rgb="FFCACACA"/>
      </bottom>
      <diagonal/>
    </border>
    <border>
      <left/>
      <right style="medium">
        <color rgb="FFCACACA"/>
      </right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E3E3E3"/>
      </left>
      <right style="thin">
        <color rgb="FFE3E3E3"/>
      </right>
      <top/>
      <bottom/>
      <diagonal/>
    </border>
  </borders>
  <cellStyleXfs count="4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0" fontId="2" fillId="2" borderId="0" xfId="1" applyFill="1" applyAlignment="1" applyProtection="1">
      <alignment wrapText="1"/>
      <protection locked="0"/>
    </xf>
    <xf numFmtId="0" fontId="6" fillId="4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0" borderId="0" xfId="0" applyFont="1"/>
    <xf numFmtId="0" fontId="6" fillId="4" borderId="3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2" borderId="1" xfId="2" applyFill="1" applyBorder="1" applyAlignment="1">
      <alignment horizontal="center" vertical="center"/>
    </xf>
    <xf numFmtId="2" fontId="6" fillId="3" borderId="3" xfId="0" applyNumberFormat="1" applyFont="1" applyFill="1" applyBorder="1" applyAlignment="1">
      <alignment horizontal="center" vertical="center"/>
    </xf>
    <xf numFmtId="164" fontId="6" fillId="3" borderId="3" xfId="3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1" applyFont="1" applyFill="1" applyAlignment="1" applyProtection="1">
      <alignment horizontal="center" vertical="center" wrapText="1"/>
      <protection locked="0"/>
    </xf>
    <xf numFmtId="0" fontId="2" fillId="2" borderId="0" xfId="1" applyFill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 vertical="center"/>
    </xf>
    <xf numFmtId="0" fontId="4" fillId="2" borderId="4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1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0" fillId="2" borderId="0" xfId="0" applyNumberFormat="1" applyFill="1" applyAlignment="1">
      <alignment horizontal="center"/>
    </xf>
    <xf numFmtId="1" fontId="0" fillId="2" borderId="1" xfId="0" applyNumberFormat="1" applyFill="1" applyBorder="1" applyAlignment="1">
      <alignment horizontal="center" wrapText="1"/>
    </xf>
    <xf numFmtId="0" fontId="12" fillId="0" borderId="0" xfId="0" applyFont="1"/>
    <xf numFmtId="165" fontId="0" fillId="0" borderId="0" xfId="0" applyNumberFormat="1"/>
    <xf numFmtId="0" fontId="11" fillId="6" borderId="1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1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/>
    </xf>
    <xf numFmtId="1" fontId="2" fillId="2" borderId="0" xfId="0" applyNumberFormat="1" applyFont="1" applyFill="1" applyAlignment="1">
      <alignment horizontal="center"/>
    </xf>
    <xf numFmtId="2" fontId="0" fillId="2" borderId="1" xfId="0" applyNumberFormat="1" applyFill="1" applyBorder="1"/>
    <xf numFmtId="2" fontId="0" fillId="2" borderId="0" xfId="0" applyNumberFormat="1" applyFill="1"/>
    <xf numFmtId="2" fontId="1" fillId="2" borderId="1" xfId="0" applyNumberFormat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left" vertical="center" wrapText="1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16" fillId="0" borderId="1" xfId="0" applyFont="1" applyBorder="1"/>
    <xf numFmtId="2" fontId="1" fillId="0" borderId="1" xfId="0" applyNumberFormat="1" applyFont="1" applyBorder="1" applyAlignment="1">
      <alignment horizontal="center"/>
    </xf>
    <xf numFmtId="0" fontId="15" fillId="6" borderId="1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left" vertical="center" wrapText="1"/>
    </xf>
    <xf numFmtId="2" fontId="18" fillId="2" borderId="1" xfId="0" applyNumberFormat="1" applyFont="1" applyFill="1" applyBorder="1" applyAlignment="1">
      <alignment horizontal="center" vertical="center"/>
    </xf>
    <xf numFmtId="166" fontId="17" fillId="2" borderId="1" xfId="1" applyNumberFormat="1" applyFont="1" applyFill="1" applyBorder="1" applyAlignment="1">
      <alignment horizontal="center" vertical="center" wrapText="1"/>
    </xf>
    <xf numFmtId="0" fontId="4" fillId="6" borderId="4" xfId="1" applyFont="1" applyFill="1" applyBorder="1" applyAlignment="1">
      <alignment horizontal="left" vertical="center" wrapText="1"/>
    </xf>
    <xf numFmtId="0" fontId="4" fillId="6" borderId="4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right" vertical="center" wrapText="1"/>
    </xf>
    <xf numFmtId="0" fontId="4" fillId="6" borderId="10" xfId="1" applyFont="1" applyFill="1" applyBorder="1" applyAlignment="1">
      <alignment horizontal="center" vertical="center" wrapText="1"/>
    </xf>
    <xf numFmtId="0" fontId="4" fillId="6" borderId="4" xfId="1" applyFont="1" applyFill="1" applyBorder="1" applyAlignment="1">
      <alignment horizontal="left" vertical="center" wrapText="1"/>
    </xf>
    <xf numFmtId="0" fontId="4" fillId="6" borderId="4" xfId="1" applyFont="1" applyFill="1" applyBorder="1" applyAlignment="1" applyProtection="1">
      <alignment horizontal="left" vertical="center" wrapText="1"/>
      <protection locked="0"/>
    </xf>
    <xf numFmtId="0" fontId="3" fillId="5" borderId="0" xfId="1" applyFont="1" applyFill="1" applyAlignment="1" applyProtection="1">
      <alignment horizontal="left" vertical="top" wrapText="1"/>
      <protection locked="0"/>
    </xf>
    <xf numFmtId="2" fontId="0" fillId="2" borderId="5" xfId="0" applyNumberFormat="1" applyFill="1" applyBorder="1" applyAlignment="1">
      <alignment horizontal="right"/>
    </xf>
    <xf numFmtId="2" fontId="0" fillId="2" borderId="6" xfId="0" applyNumberFormat="1" applyFill="1" applyBorder="1" applyAlignment="1">
      <alignment horizontal="right"/>
    </xf>
    <xf numFmtId="2" fontId="0" fillId="2" borderId="7" xfId="0" applyNumberFormat="1" applyFill="1" applyBorder="1" applyAlignment="1">
      <alignment horizontal="right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5" fillId="5" borderId="8" xfId="1" applyFont="1" applyFill="1" applyBorder="1" applyAlignment="1" applyProtection="1">
      <alignment horizontal="center" vertical="center" wrapText="1"/>
      <protection locked="0"/>
    </xf>
    <xf numFmtId="0" fontId="15" fillId="5" borderId="9" xfId="1" applyFont="1" applyFill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3" fillId="2" borderId="1" xfId="1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</cellXfs>
  <cellStyles count="4">
    <cellStyle name="Comma" xfId="3" builtinId="3"/>
    <cellStyle name="Hyperlink" xfId="2" builtinId="8"/>
    <cellStyle name="Normal" xfId="0" builtinId="0"/>
    <cellStyle name="Normal 2" xfId="1" xr:uid="{A61FA57E-40EB-4F03-A1A3-DEFDFDEC58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lija Levkovic" id="{AC3DBB6A-DE1B-42E4-AEA1-6C78AD770449}" userId="13fe68c56ffd4df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6-04-16T14:01:34.80" personId="{AC3DBB6A-DE1B-42E4-AEA1-6C78AD770449}" id="{DBAA54D7-EEB1-48A8-B797-5014B2CAB83C}">
    <text>Atnaujintas (suvidurkinti tris kvartiliai tik viesojo sektoriaus)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6-02-10T13:18:06.52" personId="{AC3DBB6A-DE1B-42E4-AEA1-6C78AD770449}" id="{F63F194B-BD92-4763-9EF3-3342D9739AE4}">
    <text>1000 gyventojų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390A-6D5F-49C7-96ED-35AAFE7007A8}">
  <dimension ref="A1:P33"/>
  <sheetViews>
    <sheetView tabSelected="1" zoomScale="85" zoomScaleNormal="85" workbookViewId="0">
      <selection activeCell="N17" sqref="N17"/>
    </sheetView>
  </sheetViews>
  <sheetFormatPr defaultRowHeight="14.5"/>
  <cols>
    <col min="2" max="2" width="10.36328125" style="1" customWidth="1"/>
    <col min="3" max="3" width="12.08984375" style="1" customWidth="1"/>
    <col min="4" max="5" width="10.81640625" style="1" customWidth="1"/>
    <col min="6" max="6" width="10.6328125" style="6" customWidth="1"/>
    <col min="7" max="7" width="11.7265625" style="6" customWidth="1"/>
    <col min="8" max="8" width="9.7265625" style="1" customWidth="1"/>
    <col min="9" max="9" width="11" style="1" customWidth="1"/>
    <col min="10" max="10" width="9.90625" style="1" customWidth="1"/>
    <col min="11" max="11" width="11" style="1" customWidth="1"/>
    <col min="12" max="13" width="11.6328125" style="1" customWidth="1"/>
    <col min="14" max="16" width="12.26953125" customWidth="1"/>
  </cols>
  <sheetData>
    <row r="1" spans="1:16" s="5" customFormat="1" ht="40.5" customHeight="1">
      <c r="A1" s="5" t="s">
        <v>159</v>
      </c>
      <c r="B1" s="5" t="s">
        <v>0</v>
      </c>
      <c r="C1" s="5" t="s">
        <v>1</v>
      </c>
      <c r="D1" s="5" t="s">
        <v>277</v>
      </c>
      <c r="E1" s="5" t="s">
        <v>7</v>
      </c>
      <c r="F1" s="5" t="s">
        <v>5</v>
      </c>
      <c r="G1" s="5" t="s">
        <v>6</v>
      </c>
      <c r="H1" s="5" t="s">
        <v>8</v>
      </c>
      <c r="I1" s="5" t="s">
        <v>9</v>
      </c>
      <c r="J1" s="5" t="s">
        <v>10</v>
      </c>
      <c r="K1" s="5" t="s">
        <v>12</v>
      </c>
      <c r="L1" s="5" t="s">
        <v>13</v>
      </c>
      <c r="M1" s="5" t="s">
        <v>297</v>
      </c>
      <c r="N1" s="5" t="s">
        <v>274</v>
      </c>
      <c r="O1" s="5" t="s">
        <v>275</v>
      </c>
      <c r="P1" s="5" t="s">
        <v>276</v>
      </c>
    </row>
    <row r="2" spans="1:16" s="11" customFormat="1" ht="13.5" thickBot="1">
      <c r="A2" s="9">
        <v>2025</v>
      </c>
      <c r="B2" s="10">
        <v>4421</v>
      </c>
      <c r="C2" s="10">
        <v>5739</v>
      </c>
      <c r="D2" s="10">
        <v>51</v>
      </c>
      <c r="E2" s="10">
        <v>107</v>
      </c>
      <c r="F2" s="10">
        <v>71</v>
      </c>
      <c r="G2" s="10">
        <v>144</v>
      </c>
      <c r="H2" s="10">
        <v>1517.5</v>
      </c>
      <c r="I2" s="10">
        <v>612825</v>
      </c>
      <c r="J2" s="10">
        <v>-1318</v>
      </c>
      <c r="K2" s="10">
        <v>33728</v>
      </c>
      <c r="L2" s="18">
        <v>22093</v>
      </c>
      <c r="M2" s="18">
        <v>11635</v>
      </c>
      <c r="N2" s="10">
        <v>11.5</v>
      </c>
      <c r="O2" s="17">
        <f>AVERAGE('Bruto viesasis sektorius'!C2:E2)</f>
        <v>2386.9</v>
      </c>
      <c r="P2" s="17">
        <v>7291.8499999999995</v>
      </c>
    </row>
    <row r="3" spans="1:16" s="1" customFormat="1" ht="15" thickBot="1">
      <c r="A3" s="9">
        <v>2024</v>
      </c>
      <c r="B3" s="10">
        <v>4779</v>
      </c>
      <c r="C3" s="10">
        <v>5776</v>
      </c>
      <c r="D3" s="10">
        <v>52</v>
      </c>
      <c r="E3" s="10">
        <v>101</v>
      </c>
      <c r="F3" s="10">
        <v>68</v>
      </c>
      <c r="G3" s="10">
        <v>137</v>
      </c>
      <c r="H3" s="10">
        <v>1506</v>
      </c>
      <c r="I3" s="10">
        <v>605037</v>
      </c>
      <c r="J3" s="10">
        <v>-997</v>
      </c>
      <c r="K3" s="10">
        <v>26136</v>
      </c>
      <c r="L3" s="18">
        <v>19880</v>
      </c>
      <c r="M3" s="18">
        <v>6256</v>
      </c>
      <c r="N3" s="17">
        <v>10.9</v>
      </c>
      <c r="O3" s="17">
        <f>AVERAGE('Bruto viesasis sektorius'!C3:E3)</f>
        <v>2188.7999999999997</v>
      </c>
      <c r="P3" s="17">
        <v>6837.625</v>
      </c>
    </row>
    <row r="4" spans="1:16" s="1" customFormat="1" ht="15" thickBot="1">
      <c r="A4" s="9">
        <v>2023</v>
      </c>
      <c r="B4" s="10">
        <v>5087</v>
      </c>
      <c r="C4" s="10">
        <v>5541</v>
      </c>
      <c r="D4" s="10">
        <v>53</v>
      </c>
      <c r="E4" s="10">
        <v>97</v>
      </c>
      <c r="F4" s="10">
        <v>65</v>
      </c>
      <c r="G4" s="10">
        <v>131</v>
      </c>
      <c r="H4" s="10">
        <v>1463.4</v>
      </c>
      <c r="I4" s="10">
        <v>594622</v>
      </c>
      <c r="J4" s="10">
        <v>-454</v>
      </c>
      <c r="K4" s="10">
        <v>31621</v>
      </c>
      <c r="L4" s="18">
        <v>15628</v>
      </c>
      <c r="M4" s="18">
        <v>15993</v>
      </c>
      <c r="N4" s="17">
        <v>13</v>
      </c>
      <c r="O4" s="17">
        <f>AVERAGE('Bruto viesasis sektorius'!C4:E4)</f>
        <v>1909.8333333333333</v>
      </c>
      <c r="P4" s="17">
        <v>6470</v>
      </c>
    </row>
    <row r="5" spans="1:16" s="1" customFormat="1" ht="15" thickBot="1">
      <c r="A5" s="9">
        <v>2022</v>
      </c>
      <c r="B5" s="10">
        <v>5543</v>
      </c>
      <c r="C5" s="10">
        <v>6371</v>
      </c>
      <c r="D5" s="10">
        <v>54</v>
      </c>
      <c r="E5" s="10">
        <v>98</v>
      </c>
      <c r="F5" s="10">
        <v>66</v>
      </c>
      <c r="G5" s="10">
        <v>133</v>
      </c>
      <c r="H5" s="10">
        <v>1404</v>
      </c>
      <c r="I5" s="10">
        <v>574924</v>
      </c>
      <c r="J5" s="10">
        <v>-828</v>
      </c>
      <c r="K5" s="10">
        <v>41867</v>
      </c>
      <c r="L5" s="18">
        <v>16231</v>
      </c>
      <c r="M5" s="18">
        <v>25636</v>
      </c>
      <c r="N5" s="17">
        <v>13.9</v>
      </c>
      <c r="O5" s="17">
        <f>AVERAGE('Bruto viesasis sektorius'!C5:E5)</f>
        <v>1705.2333333333336</v>
      </c>
      <c r="P5" s="17">
        <v>5922.4749999999995</v>
      </c>
    </row>
    <row r="6" spans="1:16" s="1" customFormat="1" ht="15" thickBot="1">
      <c r="A6" s="9">
        <v>2021</v>
      </c>
      <c r="B6" s="10">
        <v>6039</v>
      </c>
      <c r="C6" s="10">
        <v>7333</v>
      </c>
      <c r="D6" s="10">
        <v>54</v>
      </c>
      <c r="E6" s="10">
        <v>99</v>
      </c>
      <c r="F6" s="10">
        <v>66</v>
      </c>
      <c r="G6" s="10">
        <v>134</v>
      </c>
      <c r="H6" s="10">
        <v>1387.8</v>
      </c>
      <c r="I6" s="10">
        <v>559751</v>
      </c>
      <c r="J6" s="10">
        <v>-1294</v>
      </c>
      <c r="K6" s="10">
        <v>21095</v>
      </c>
      <c r="L6" s="18">
        <v>13279</v>
      </c>
      <c r="M6" s="18">
        <v>7816</v>
      </c>
      <c r="N6" s="17">
        <v>11.5</v>
      </c>
      <c r="O6" s="17">
        <f>AVERAGE('Bruto viesasis sektorius'!C6:E6)</f>
        <v>1544.5</v>
      </c>
      <c r="P6" s="17">
        <v>5048.2000000000007</v>
      </c>
    </row>
    <row r="7" spans="1:16" s="1" customFormat="1" ht="15" thickBot="1">
      <c r="A7" s="9">
        <v>2020</v>
      </c>
      <c r="B7" s="10">
        <v>5720</v>
      </c>
      <c r="C7" s="10">
        <v>6419</v>
      </c>
      <c r="D7" s="10">
        <v>52</v>
      </c>
      <c r="E7" s="10">
        <v>99</v>
      </c>
      <c r="F7" s="10">
        <v>64</v>
      </c>
      <c r="G7" s="10">
        <v>137</v>
      </c>
      <c r="H7" s="10">
        <v>1372.5</v>
      </c>
      <c r="I7" s="10">
        <v>553424</v>
      </c>
      <c r="J7" s="10">
        <v>-699</v>
      </c>
      <c r="K7" s="10">
        <v>21517</v>
      </c>
      <c r="L7" s="18">
        <v>14685</v>
      </c>
      <c r="M7" s="18">
        <v>6832</v>
      </c>
      <c r="N7" s="17">
        <v>14.7</v>
      </c>
      <c r="O7" s="17">
        <f>AVERAGE('Bruto viesasis sektorius'!C7:E7)</f>
        <v>1443.7</v>
      </c>
      <c r="P7" s="17">
        <v>4471.375</v>
      </c>
    </row>
    <row r="8" spans="1:16" s="1" customFormat="1" ht="15" thickBot="1">
      <c r="A8" s="9">
        <v>2019</v>
      </c>
      <c r="B8" s="10">
        <v>6019</v>
      </c>
      <c r="C8" s="10">
        <v>5612</v>
      </c>
      <c r="D8" s="10">
        <v>50</v>
      </c>
      <c r="E8" s="10">
        <v>99</v>
      </c>
      <c r="F8" s="10">
        <v>64</v>
      </c>
      <c r="G8" s="10">
        <v>136</v>
      </c>
      <c r="H8" s="10">
        <v>1356.2</v>
      </c>
      <c r="I8" s="10">
        <v>547095</v>
      </c>
      <c r="J8" s="10">
        <v>407</v>
      </c>
      <c r="K8" s="10">
        <v>22673</v>
      </c>
      <c r="L8" s="18">
        <v>16555</v>
      </c>
      <c r="M8" s="18">
        <v>6118</v>
      </c>
      <c r="N8" s="17">
        <v>13.4</v>
      </c>
      <c r="O8" s="17">
        <f>AVERAGE('Bruto viesasis sektorius'!C8:E8)</f>
        <v>1272.1333333333332</v>
      </c>
      <c r="P8" s="10">
        <v>4379.0249999999996</v>
      </c>
    </row>
    <row r="9" spans="1:16" s="1" customFormat="1" ht="15" thickBot="1">
      <c r="A9" s="9">
        <v>2018</v>
      </c>
      <c r="B9" s="10">
        <v>6613</v>
      </c>
      <c r="C9" s="10">
        <v>5723</v>
      </c>
      <c r="D9" s="10">
        <v>50</v>
      </c>
      <c r="E9" s="10">
        <v>99</v>
      </c>
      <c r="F9" s="10">
        <v>64</v>
      </c>
      <c r="G9" s="10">
        <v>137</v>
      </c>
      <c r="H9" s="10">
        <v>1348.2</v>
      </c>
      <c r="I9" s="10">
        <v>542228</v>
      </c>
      <c r="J9" s="10">
        <v>890</v>
      </c>
      <c r="K9" s="10">
        <v>19545</v>
      </c>
      <c r="L9" s="18">
        <v>17226</v>
      </c>
      <c r="M9" s="18">
        <v>2319</v>
      </c>
      <c r="N9" s="17">
        <v>12.6</v>
      </c>
      <c r="O9" s="17">
        <f>AVERAGE('Bruto viesasis sektorius'!C9:E9)</f>
        <v>890.73333333333323</v>
      </c>
      <c r="P9" s="10">
        <v>4074.5</v>
      </c>
    </row>
    <row r="10" spans="1:16" s="1" customFormat="1" ht="15" thickBot="1">
      <c r="A10" s="9">
        <v>2017</v>
      </c>
      <c r="B10" s="10">
        <v>6676</v>
      </c>
      <c r="C10" s="10">
        <v>5692</v>
      </c>
      <c r="D10" s="10">
        <v>49</v>
      </c>
      <c r="E10" s="10">
        <v>100</v>
      </c>
      <c r="F10" s="10">
        <v>65</v>
      </c>
      <c r="G10" s="10">
        <v>137</v>
      </c>
      <c r="H10" s="10">
        <v>1343.5</v>
      </c>
      <c r="I10" s="10">
        <v>539674</v>
      </c>
      <c r="J10" s="10">
        <v>984</v>
      </c>
      <c r="K10" s="10">
        <v>18626</v>
      </c>
      <c r="L10" s="18">
        <v>17711</v>
      </c>
      <c r="M10" s="18">
        <v>915</v>
      </c>
      <c r="N10" s="17">
        <v>9.6999999999999993</v>
      </c>
      <c r="O10" s="17">
        <f>AVERAGE('Bruto viesasis sektorius'!C10:E10)</f>
        <v>794.33333333333337</v>
      </c>
      <c r="P10" s="17">
        <v>3878.0750000000003</v>
      </c>
    </row>
    <row r="11" spans="1:16" s="1" customFormat="1" ht="15" thickBot="1">
      <c r="A11" s="9">
        <v>2016</v>
      </c>
      <c r="B11" s="10">
        <v>6998</v>
      </c>
      <c r="C11" s="10">
        <v>5954</v>
      </c>
      <c r="D11" s="10">
        <v>48</v>
      </c>
      <c r="E11" s="10">
        <v>101</v>
      </c>
      <c r="F11" s="10">
        <v>65</v>
      </c>
      <c r="G11" s="10">
        <v>138</v>
      </c>
      <c r="H11" s="10">
        <v>1339.8</v>
      </c>
      <c r="I11" s="10">
        <v>537983</v>
      </c>
      <c r="J11" s="10">
        <v>1044</v>
      </c>
      <c r="K11" s="10">
        <v>18778</v>
      </c>
      <c r="L11" s="18">
        <v>18339</v>
      </c>
      <c r="M11" s="18">
        <v>439</v>
      </c>
      <c r="N11" s="17">
        <v>9</v>
      </c>
      <c r="O11" s="17">
        <f>AVERAGE('Bruto viesasis sektorius'!C11:E11)</f>
        <v>741.26666666666654</v>
      </c>
      <c r="P11" s="17">
        <v>3373</v>
      </c>
    </row>
    <row r="12" spans="1:16" s="1" customFormat="1" ht="15" thickBot="1">
      <c r="A12" s="9">
        <v>2015</v>
      </c>
      <c r="B12" s="10">
        <v>6822</v>
      </c>
      <c r="C12" s="10">
        <v>5890</v>
      </c>
      <c r="D12" s="10">
        <v>46</v>
      </c>
      <c r="E12" s="10">
        <v>101</v>
      </c>
      <c r="F12" s="10">
        <v>66</v>
      </c>
      <c r="G12" s="10">
        <v>139</v>
      </c>
      <c r="H12" s="10">
        <v>1342.4</v>
      </c>
      <c r="I12" s="10">
        <v>537094</v>
      </c>
      <c r="J12" s="10">
        <v>932</v>
      </c>
      <c r="K12" s="10">
        <v>17042</v>
      </c>
      <c r="L12" s="18">
        <v>17680</v>
      </c>
      <c r="M12" s="18">
        <v>-638</v>
      </c>
      <c r="N12" s="17">
        <v>14.2</v>
      </c>
      <c r="O12" s="17">
        <f>AVERAGE('Bruto viesasis sektorius'!C12:E12)</f>
        <v>694.76666666666677</v>
      </c>
      <c r="P12" s="17">
        <v>3215.35</v>
      </c>
    </row>
    <row r="13" spans="1:16" s="1" customFormat="1" ht="15" thickBot="1">
      <c r="A13" s="9">
        <v>2014</v>
      </c>
      <c r="B13" s="10">
        <v>6607</v>
      </c>
      <c r="C13" s="10">
        <v>5841</v>
      </c>
      <c r="D13" s="10">
        <v>45</v>
      </c>
      <c r="E13" s="10">
        <v>101</v>
      </c>
      <c r="F13" s="10">
        <v>66</v>
      </c>
      <c r="G13" s="10">
        <v>138</v>
      </c>
      <c r="H13" s="10">
        <v>1335.1</v>
      </c>
      <c r="I13" s="10">
        <v>536155</v>
      </c>
      <c r="J13" s="10">
        <v>766</v>
      </c>
      <c r="K13" s="10">
        <v>16868</v>
      </c>
      <c r="L13" s="18">
        <v>16049</v>
      </c>
      <c r="M13" s="18">
        <v>819</v>
      </c>
      <c r="N13" s="17">
        <v>12.4</v>
      </c>
      <c r="O13" s="17">
        <f>AVERAGE('Bruto viesasis sektorius'!C13:E13)</f>
        <v>666.30000000000007</v>
      </c>
      <c r="P13" s="17">
        <v>3099</v>
      </c>
    </row>
    <row r="14" spans="1:16" s="1" customFormat="1" ht="15" thickBot="1">
      <c r="A14" s="9">
        <v>2013</v>
      </c>
      <c r="B14" s="10">
        <v>6170</v>
      </c>
      <c r="C14" s="10">
        <v>5812</v>
      </c>
      <c r="D14" s="10">
        <v>44</v>
      </c>
      <c r="E14" s="10">
        <v>101</v>
      </c>
      <c r="F14" s="10">
        <v>67</v>
      </c>
      <c r="G14" s="10">
        <v>138</v>
      </c>
      <c r="H14" s="10">
        <v>1333.2</v>
      </c>
      <c r="I14" s="10">
        <v>534991</v>
      </c>
      <c r="J14" s="10">
        <v>358</v>
      </c>
      <c r="K14" s="10">
        <v>15840</v>
      </c>
      <c r="L14" s="18">
        <v>15455</v>
      </c>
      <c r="M14" s="18">
        <v>385</v>
      </c>
      <c r="N14" s="17">
        <v>13.6</v>
      </c>
      <c r="O14" s="17">
        <f>AVERAGE('Bruto viesasis sektorius'!C14:E14)</f>
        <v>641.63333333333333</v>
      </c>
      <c r="P14" s="17">
        <v>2944.1749999999997</v>
      </c>
    </row>
    <row r="15" spans="1:16" s="1" customFormat="1" ht="15" thickBot="1">
      <c r="A15" s="9">
        <v>2012</v>
      </c>
      <c r="B15" s="10">
        <v>6276</v>
      </c>
      <c r="C15" s="10">
        <v>5740</v>
      </c>
      <c r="D15" s="10">
        <v>43</v>
      </c>
      <c r="E15" s="10">
        <v>103</v>
      </c>
      <c r="F15" s="10">
        <v>68</v>
      </c>
      <c r="G15" s="10">
        <v>139</v>
      </c>
      <c r="H15" s="10">
        <v>1329.9</v>
      </c>
      <c r="I15" s="10">
        <v>533949</v>
      </c>
      <c r="J15" s="10">
        <v>536</v>
      </c>
      <c r="K15" s="10">
        <v>15914</v>
      </c>
      <c r="L15" s="18">
        <v>15110</v>
      </c>
      <c r="M15" s="18">
        <v>804</v>
      </c>
      <c r="N15" s="17">
        <v>12</v>
      </c>
      <c r="O15" s="17">
        <f>AVERAGE('Bruto viesasis sektorius'!C15:E15)</f>
        <v>624.4</v>
      </c>
      <c r="P15" s="17">
        <v>2780.125</v>
      </c>
    </row>
    <row r="16" spans="1:16" s="1" customFormat="1" ht="15" thickBot="1">
      <c r="A16" s="9">
        <v>2011</v>
      </c>
      <c r="B16" s="10">
        <v>6466</v>
      </c>
      <c r="C16" s="10">
        <v>5682</v>
      </c>
      <c r="D16" s="10">
        <v>42</v>
      </c>
      <c r="E16" s="10">
        <v>103</v>
      </c>
      <c r="F16" s="10">
        <v>68</v>
      </c>
      <c r="G16" s="10">
        <v>139</v>
      </c>
      <c r="H16" s="10">
        <v>1337</v>
      </c>
      <c r="I16" s="10">
        <v>534703</v>
      </c>
      <c r="J16" s="10">
        <v>784</v>
      </c>
      <c r="K16" s="10">
        <v>9958</v>
      </c>
      <c r="L16" s="18">
        <v>13590</v>
      </c>
      <c r="M16" s="18">
        <v>-3632</v>
      </c>
      <c r="N16" s="17">
        <v>12.8</v>
      </c>
      <c r="O16" s="17">
        <f>AVERAGE('Bruto viesasis sektorius'!C16:E16)</f>
        <v>610.69999999999993</v>
      </c>
      <c r="P16" s="17">
        <v>2564.8250000000003</v>
      </c>
    </row>
    <row r="17" spans="1:16" s="1" customFormat="1" ht="15" thickBot="1">
      <c r="A17" s="9">
        <v>2010</v>
      </c>
      <c r="B17" s="10">
        <v>6681</v>
      </c>
      <c r="C17" s="10">
        <v>5648</v>
      </c>
      <c r="D17" s="10">
        <v>41</v>
      </c>
      <c r="E17" s="10">
        <v>105</v>
      </c>
      <c r="F17" s="10">
        <v>70</v>
      </c>
      <c r="G17" s="10">
        <v>143</v>
      </c>
      <c r="H17" s="10">
        <v>1354.6</v>
      </c>
      <c r="I17" s="10">
        <v>539659</v>
      </c>
      <c r="J17" s="10">
        <v>1033</v>
      </c>
      <c r="K17" s="10">
        <v>7687</v>
      </c>
      <c r="L17" s="18">
        <v>15784</v>
      </c>
      <c r="M17" s="18">
        <v>-8097</v>
      </c>
      <c r="N17" s="17">
        <v>15.1</v>
      </c>
      <c r="O17" s="17">
        <f>AVERAGE('Bruto viesasis sektorius'!C17:E17)</f>
        <v>592.5333333333333</v>
      </c>
      <c r="P17" s="17">
        <v>2232.875</v>
      </c>
    </row>
    <row r="18" spans="1:16" s="1" customFormat="1" ht="15" thickBot="1">
      <c r="A18" s="9">
        <v>2009</v>
      </c>
      <c r="B18" s="10">
        <v>6527</v>
      </c>
      <c r="C18" s="10">
        <v>5761</v>
      </c>
      <c r="D18" s="10">
        <v>41</v>
      </c>
      <c r="E18" s="10">
        <v>106</v>
      </c>
      <c r="F18" s="10">
        <v>70</v>
      </c>
      <c r="G18" s="10">
        <v>143</v>
      </c>
      <c r="H18" s="10">
        <v>1354</v>
      </c>
      <c r="I18" s="10">
        <v>543080</v>
      </c>
      <c r="J18" s="10">
        <v>766</v>
      </c>
      <c r="K18" s="10">
        <v>8215</v>
      </c>
      <c r="L18" s="18">
        <v>8759</v>
      </c>
      <c r="M18" s="18">
        <v>-544</v>
      </c>
      <c r="N18" s="17"/>
      <c r="O18" s="17"/>
      <c r="P18" s="17">
        <v>2132</v>
      </c>
    </row>
    <row r="19" spans="1:16" s="1" customFormat="1" ht="15" thickBot="1">
      <c r="A19" s="9">
        <v>2008</v>
      </c>
      <c r="B19" s="10">
        <v>6177</v>
      </c>
      <c r="C19" s="10">
        <v>5917</v>
      </c>
      <c r="D19" s="10">
        <v>41</v>
      </c>
      <c r="E19" s="10">
        <v>105</v>
      </c>
      <c r="F19" s="10">
        <v>70</v>
      </c>
      <c r="G19" s="10">
        <v>141</v>
      </c>
      <c r="H19" s="10">
        <v>1350.6</v>
      </c>
      <c r="I19" s="10">
        <v>542283</v>
      </c>
      <c r="J19" s="10">
        <v>260</v>
      </c>
      <c r="K19" s="10">
        <v>9438</v>
      </c>
      <c r="L19" s="18">
        <v>8325</v>
      </c>
      <c r="M19" s="18">
        <v>1113</v>
      </c>
      <c r="N19" s="17"/>
      <c r="O19" s="17"/>
      <c r="P19" s="17">
        <v>2554.7750000000001</v>
      </c>
    </row>
    <row r="20" spans="1:16" s="1" customFormat="1" ht="15" thickBot="1">
      <c r="A20" s="9">
        <v>2007</v>
      </c>
      <c r="B20" s="10">
        <v>5634</v>
      </c>
      <c r="C20" s="10">
        <v>6166</v>
      </c>
      <c r="D20" s="10">
        <v>40</v>
      </c>
      <c r="E20" s="10">
        <v>101</v>
      </c>
      <c r="F20" s="10">
        <v>68</v>
      </c>
      <c r="G20" s="10">
        <v>136</v>
      </c>
      <c r="H20" s="10">
        <v>1351</v>
      </c>
      <c r="I20" s="10">
        <v>541664</v>
      </c>
      <c r="J20" s="10">
        <v>-532</v>
      </c>
      <c r="K20" s="10">
        <v>8842</v>
      </c>
      <c r="L20" s="18">
        <v>8446</v>
      </c>
      <c r="M20" s="18">
        <v>396</v>
      </c>
      <c r="N20" s="17"/>
      <c r="O20" s="17"/>
      <c r="P20" s="17">
        <v>2246.35</v>
      </c>
    </row>
    <row r="21" spans="1:16" s="1" customFormat="1" ht="15" thickBot="1">
      <c r="A21" s="9">
        <v>2006</v>
      </c>
      <c r="B21" s="10">
        <v>5407</v>
      </c>
      <c r="C21" s="10">
        <v>6072</v>
      </c>
      <c r="D21" s="10">
        <v>40</v>
      </c>
      <c r="E21" s="10">
        <v>97</v>
      </c>
      <c r="F21" s="10">
        <v>65</v>
      </c>
      <c r="G21" s="10">
        <v>131</v>
      </c>
      <c r="H21" s="10">
        <v>1352.9</v>
      </c>
      <c r="I21" s="10">
        <v>542129</v>
      </c>
      <c r="J21" s="10">
        <v>-665</v>
      </c>
      <c r="K21" s="10">
        <v>8023</v>
      </c>
      <c r="L21" s="18">
        <v>8151</v>
      </c>
      <c r="M21" s="18">
        <v>-128</v>
      </c>
      <c r="N21" s="17"/>
      <c r="O21" s="17"/>
      <c r="P21" s="17">
        <v>1834.875</v>
      </c>
    </row>
    <row r="22" spans="1:16" s="1" customFormat="1" ht="15" thickBot="1">
      <c r="A22" s="9">
        <v>2005</v>
      </c>
      <c r="B22" s="10">
        <v>5011</v>
      </c>
      <c r="C22" s="10">
        <v>5515</v>
      </c>
      <c r="D22" s="10">
        <v>40</v>
      </c>
      <c r="E22" s="10">
        <v>92</v>
      </c>
      <c r="F22" s="10">
        <v>62</v>
      </c>
      <c r="G22" s="10">
        <v>123</v>
      </c>
      <c r="H22" s="10">
        <v>1363.5</v>
      </c>
      <c r="I22" s="10">
        <v>544649</v>
      </c>
      <c r="J22" s="10">
        <v>-504</v>
      </c>
      <c r="K22" s="10">
        <v>8116</v>
      </c>
      <c r="L22" s="18">
        <v>11860</v>
      </c>
      <c r="M22" s="18">
        <v>-3744</v>
      </c>
      <c r="N22" s="17"/>
      <c r="O22" s="17"/>
      <c r="P22" s="17">
        <v>1579.0749999999998</v>
      </c>
    </row>
    <row r="23" spans="1:16" s="1" customFormat="1" ht="15" thickBot="1">
      <c r="A23" s="9">
        <v>2004</v>
      </c>
      <c r="B23" s="10">
        <v>4817</v>
      </c>
      <c r="C23" s="10">
        <v>5177</v>
      </c>
      <c r="D23" s="10">
        <v>39</v>
      </c>
      <c r="E23" s="10">
        <v>86</v>
      </c>
      <c r="F23" s="10">
        <v>58</v>
      </c>
      <c r="G23" s="10">
        <v>116</v>
      </c>
      <c r="H23" s="10">
        <v>1368.4</v>
      </c>
      <c r="I23" s="10">
        <v>547751</v>
      </c>
      <c r="J23" s="10">
        <v>-360</v>
      </c>
      <c r="K23" s="10">
        <v>8905</v>
      </c>
      <c r="L23" s="18">
        <v>10501</v>
      </c>
      <c r="M23" s="18">
        <v>-1596</v>
      </c>
      <c r="N23" s="17"/>
      <c r="O23" s="17"/>
      <c r="P23" s="17">
        <v>1355.675</v>
      </c>
    </row>
    <row r="24" spans="1:16" s="1" customFormat="1" ht="15" thickBot="1">
      <c r="A24" s="9">
        <v>2003</v>
      </c>
      <c r="B24" s="10">
        <v>4636</v>
      </c>
      <c r="C24" s="10">
        <v>5367</v>
      </c>
      <c r="D24" s="10">
        <v>39</v>
      </c>
      <c r="E24" s="10">
        <v>79</v>
      </c>
      <c r="F24" s="10">
        <v>54</v>
      </c>
      <c r="G24" s="10">
        <v>106</v>
      </c>
      <c r="H24" s="10">
        <v>1372.1</v>
      </c>
      <c r="I24" s="10">
        <v>549471</v>
      </c>
      <c r="J24" s="10">
        <v>-731</v>
      </c>
      <c r="K24" s="10">
        <v>9102</v>
      </c>
      <c r="L24" s="18">
        <v>9855</v>
      </c>
      <c r="M24" s="18">
        <v>-753</v>
      </c>
      <c r="N24" s="10"/>
      <c r="O24" s="10"/>
      <c r="P24" s="17">
        <v>1220.6000000000001</v>
      </c>
    </row>
    <row r="25" spans="1:16" s="1" customFormat="1" ht="15" thickBot="1">
      <c r="A25" s="9">
        <v>2002</v>
      </c>
      <c r="B25" s="10">
        <v>4506</v>
      </c>
      <c r="C25" s="10">
        <v>5140</v>
      </c>
      <c r="D25" s="10">
        <v>40</v>
      </c>
      <c r="E25" s="10">
        <v>73</v>
      </c>
      <c r="F25" s="10">
        <v>50</v>
      </c>
      <c r="G25" s="10">
        <v>97</v>
      </c>
      <c r="H25" s="10">
        <v>1373.9</v>
      </c>
      <c r="I25" s="10">
        <v>550568</v>
      </c>
      <c r="J25" s="10">
        <v>-634</v>
      </c>
      <c r="K25" s="10">
        <v>5823</v>
      </c>
      <c r="L25" s="18">
        <v>5900</v>
      </c>
      <c r="M25" s="18">
        <v>-77</v>
      </c>
      <c r="N25" s="10"/>
      <c r="O25" s="10"/>
      <c r="P25" s="17">
        <v>1104.125</v>
      </c>
    </row>
    <row r="26" spans="1:16" ht="15" thickBot="1">
      <c r="A26" s="9">
        <v>2001</v>
      </c>
      <c r="B26" s="10">
        <v>4449</v>
      </c>
      <c r="C26" s="10">
        <v>5045</v>
      </c>
      <c r="D26" s="10">
        <v>40</v>
      </c>
      <c r="E26" s="10">
        <v>67</v>
      </c>
      <c r="F26" s="10">
        <v>45</v>
      </c>
      <c r="G26" s="10">
        <v>89</v>
      </c>
      <c r="H26" s="10">
        <v>1382.2</v>
      </c>
      <c r="I26" s="10">
        <v>552603</v>
      </c>
      <c r="J26" s="10">
        <v>-596</v>
      </c>
      <c r="K26" s="10">
        <v>4909</v>
      </c>
      <c r="L26" s="18">
        <v>7670</v>
      </c>
      <c r="M26" s="18">
        <v>-2761</v>
      </c>
      <c r="N26" s="10"/>
      <c r="O26" s="10"/>
      <c r="P26" s="17">
        <v>1023.1000000000001</v>
      </c>
    </row>
    <row r="27" spans="1:16">
      <c r="A27" s="12">
        <v>2000</v>
      </c>
      <c r="B27" s="10">
        <v>4789</v>
      </c>
      <c r="C27" s="10">
        <v>4844</v>
      </c>
      <c r="D27" s="10"/>
      <c r="E27" s="10"/>
      <c r="F27" s="10"/>
      <c r="G27" s="10"/>
      <c r="H27" s="10"/>
      <c r="I27" s="10">
        <v>556549</v>
      </c>
      <c r="J27" s="10">
        <v>-55</v>
      </c>
      <c r="K27" s="10">
        <v>3713</v>
      </c>
      <c r="L27" s="18">
        <v>8193</v>
      </c>
      <c r="M27" s="18">
        <v>-4480</v>
      </c>
      <c r="N27" s="10"/>
      <c r="O27" s="10"/>
      <c r="P27" s="17">
        <v>955.94999999999993</v>
      </c>
    </row>
    <row r="28" spans="1:16">
      <c r="A28" s="12">
        <v>1999</v>
      </c>
      <c r="B28" s="10">
        <v>5092</v>
      </c>
      <c r="C28" s="10">
        <v>4869</v>
      </c>
      <c r="D28" s="10"/>
      <c r="E28" s="10"/>
      <c r="F28" s="10"/>
      <c r="G28" s="10"/>
      <c r="H28" s="10"/>
      <c r="I28" s="10">
        <v>560585</v>
      </c>
      <c r="J28" s="10">
        <v>223</v>
      </c>
      <c r="K28" s="10">
        <v>5265</v>
      </c>
      <c r="L28" s="18">
        <v>9025</v>
      </c>
      <c r="M28" s="18">
        <v>-3760</v>
      </c>
      <c r="N28" s="10"/>
      <c r="O28" s="10"/>
      <c r="P28" s="17">
        <v>905.82500000000005</v>
      </c>
    </row>
    <row r="29" spans="1:16">
      <c r="A29" s="12">
        <v>1998</v>
      </c>
      <c r="B29" s="10">
        <v>5011</v>
      </c>
      <c r="C29" s="10">
        <v>4976</v>
      </c>
      <c r="D29" s="10"/>
      <c r="E29" s="10"/>
      <c r="F29" s="10"/>
      <c r="G29" s="10"/>
      <c r="H29" s="10"/>
      <c r="I29" s="10">
        <v>564117</v>
      </c>
      <c r="J29" s="10">
        <v>35</v>
      </c>
      <c r="K29" s="10">
        <v>6420</v>
      </c>
      <c r="L29" s="18">
        <v>9983</v>
      </c>
      <c r="M29" s="18">
        <v>-3563</v>
      </c>
      <c r="N29" s="10"/>
      <c r="O29" s="10"/>
      <c r="P29" s="17">
        <v>921.2</v>
      </c>
    </row>
    <row r="30" spans="1:16">
      <c r="A30" s="12">
        <v>1997</v>
      </c>
      <c r="B30" s="10">
        <v>4979</v>
      </c>
      <c r="C30" s="10">
        <v>5168</v>
      </c>
      <c r="D30" s="10"/>
      <c r="E30" s="10"/>
      <c r="F30" s="10"/>
      <c r="G30" s="10"/>
      <c r="H30" s="10"/>
      <c r="I30" s="10">
        <v>568523</v>
      </c>
      <c r="J30" s="10">
        <v>-189</v>
      </c>
      <c r="K30" s="10">
        <v>7301</v>
      </c>
      <c r="L30" s="18">
        <v>12395</v>
      </c>
      <c r="M30" s="18">
        <v>-5094</v>
      </c>
      <c r="N30" s="10"/>
      <c r="O30" s="10"/>
      <c r="P30" s="17">
        <v>823.72499999999991</v>
      </c>
    </row>
    <row r="31" spans="1:16">
      <c r="A31" s="12">
        <v>1996</v>
      </c>
      <c r="B31" s="10">
        <v>5061</v>
      </c>
      <c r="C31" s="10">
        <v>5359</v>
      </c>
      <c r="D31" s="10"/>
      <c r="E31" s="10"/>
      <c r="F31" s="10"/>
      <c r="G31" s="10"/>
      <c r="H31" s="10"/>
      <c r="I31" s="10">
        <v>574746</v>
      </c>
      <c r="J31" s="10">
        <v>-298</v>
      </c>
      <c r="K31" s="10">
        <v>6555</v>
      </c>
      <c r="L31" s="18">
        <v>13420</v>
      </c>
      <c r="M31" s="18">
        <v>-6865</v>
      </c>
      <c r="N31" s="10"/>
      <c r="O31" s="10"/>
      <c r="P31" s="17">
        <v>677.90000000000009</v>
      </c>
    </row>
    <row r="32" spans="1:16" ht="14" customHeight="1">
      <c r="A32" s="12">
        <v>1995</v>
      </c>
      <c r="B32" s="10">
        <v>5757</v>
      </c>
      <c r="C32" s="10">
        <v>5708</v>
      </c>
      <c r="D32" s="10"/>
      <c r="E32" s="10"/>
      <c r="F32" s="10"/>
      <c r="G32" s="10"/>
      <c r="H32" s="10"/>
      <c r="I32" s="10"/>
      <c r="J32" s="10">
        <v>49</v>
      </c>
      <c r="K32" s="10">
        <v>7329</v>
      </c>
      <c r="L32" s="18">
        <v>13222</v>
      </c>
      <c r="M32" s="18">
        <v>-5893</v>
      </c>
      <c r="N32" s="10"/>
      <c r="O32" s="10"/>
      <c r="P32" s="17">
        <v>538.30000000000007</v>
      </c>
    </row>
    <row r="33" spans="1:15">
      <c r="A33" s="12">
        <v>1994</v>
      </c>
      <c r="B33" s="10">
        <v>5878</v>
      </c>
      <c r="C33" s="10">
        <v>5858</v>
      </c>
      <c r="D33" s="10"/>
      <c r="E33" s="10"/>
      <c r="F33" s="10"/>
      <c r="G33" s="10"/>
      <c r="H33" s="10"/>
      <c r="I33" s="10"/>
      <c r="J33" s="10">
        <v>20</v>
      </c>
      <c r="K33" s="10">
        <v>6059</v>
      </c>
      <c r="L33" s="18">
        <v>13024</v>
      </c>
      <c r="M33" s="18">
        <v>-6965</v>
      </c>
      <c r="N33" s="10"/>
      <c r="O33" s="10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C898-F7C5-46FB-950E-3020961D6103}">
  <dimension ref="A1:F17"/>
  <sheetViews>
    <sheetView workbookViewId="0">
      <selection activeCell="F2" sqref="F2:F17"/>
    </sheetView>
  </sheetViews>
  <sheetFormatPr defaultRowHeight="14.5"/>
  <sheetData>
    <row r="1" spans="1:6" ht="25">
      <c r="A1" s="59"/>
      <c r="B1" s="59"/>
      <c r="C1" s="54" t="s">
        <v>352</v>
      </c>
      <c r="D1" s="54" t="s">
        <v>353</v>
      </c>
      <c r="E1" s="54" t="s">
        <v>354</v>
      </c>
      <c r="F1" s="56" t="s">
        <v>372</v>
      </c>
    </row>
    <row r="2" spans="1:6">
      <c r="A2" s="57" t="s">
        <v>355</v>
      </c>
      <c r="B2" s="53" t="s">
        <v>356</v>
      </c>
      <c r="C2" s="55">
        <v>1689.8</v>
      </c>
      <c r="D2" s="55">
        <v>2352.9</v>
      </c>
      <c r="E2" s="55">
        <v>3118</v>
      </c>
      <c r="F2">
        <f>AVERAGE(C2:E2)</f>
        <v>2386.9</v>
      </c>
    </row>
    <row r="3" spans="1:6">
      <c r="A3" s="58"/>
      <c r="B3" s="53" t="s">
        <v>357</v>
      </c>
      <c r="C3" s="55">
        <v>1555.9</v>
      </c>
      <c r="D3" s="55">
        <v>2158.5</v>
      </c>
      <c r="E3" s="55">
        <v>2852</v>
      </c>
      <c r="F3">
        <f t="shared" ref="F3:F17" si="0">AVERAGE(C3:E3)</f>
        <v>2188.7999999999997</v>
      </c>
    </row>
    <row r="4" spans="1:6">
      <c r="A4" s="58"/>
      <c r="B4" s="53" t="s">
        <v>358</v>
      </c>
      <c r="C4" s="55">
        <v>1392</v>
      </c>
      <c r="D4" s="55">
        <v>1874.9</v>
      </c>
      <c r="E4" s="55">
        <v>2462.6</v>
      </c>
      <c r="F4">
        <f t="shared" si="0"/>
        <v>1909.8333333333333</v>
      </c>
    </row>
    <row r="5" spans="1:6">
      <c r="A5" s="58"/>
      <c r="B5" s="53" t="s">
        <v>359</v>
      </c>
      <c r="C5" s="55">
        <v>1249.5</v>
      </c>
      <c r="D5" s="55">
        <v>1677.9</v>
      </c>
      <c r="E5" s="55">
        <v>2188.3000000000002</v>
      </c>
      <c r="F5">
        <f t="shared" si="0"/>
        <v>1705.2333333333336</v>
      </c>
    </row>
    <row r="6" spans="1:6">
      <c r="A6" s="58"/>
      <c r="B6" s="53" t="s">
        <v>360</v>
      </c>
      <c r="C6" s="55">
        <v>1124.5</v>
      </c>
      <c r="D6" s="55">
        <v>1519.7</v>
      </c>
      <c r="E6" s="55">
        <v>1989.3</v>
      </c>
      <c r="F6">
        <f t="shared" si="0"/>
        <v>1544.5</v>
      </c>
    </row>
    <row r="7" spans="1:6">
      <c r="A7" s="58"/>
      <c r="B7" s="53" t="s">
        <v>361</v>
      </c>
      <c r="C7" s="55">
        <v>1043.9000000000001</v>
      </c>
      <c r="D7" s="55">
        <v>1428.2</v>
      </c>
      <c r="E7" s="55">
        <v>1859</v>
      </c>
      <c r="F7">
        <f t="shared" si="0"/>
        <v>1443.7</v>
      </c>
    </row>
    <row r="8" spans="1:6">
      <c r="A8" s="58"/>
      <c r="B8" s="53" t="s">
        <v>362</v>
      </c>
      <c r="C8" s="55">
        <v>905.6</v>
      </c>
      <c r="D8" s="55">
        <v>1260.5</v>
      </c>
      <c r="E8" s="55">
        <v>1650.3</v>
      </c>
      <c r="F8">
        <f t="shared" si="0"/>
        <v>1272.1333333333332</v>
      </c>
    </row>
    <row r="9" spans="1:6">
      <c r="A9" s="58"/>
      <c r="B9" s="53" t="s">
        <v>363</v>
      </c>
      <c r="C9" s="55">
        <v>632.79999999999995</v>
      </c>
      <c r="D9" s="55">
        <v>879.3</v>
      </c>
      <c r="E9" s="55">
        <v>1160.0999999999999</v>
      </c>
      <c r="F9">
        <f t="shared" si="0"/>
        <v>890.73333333333323</v>
      </c>
    </row>
    <row r="10" spans="1:6">
      <c r="A10" s="58"/>
      <c r="B10" s="53" t="s">
        <v>364</v>
      </c>
      <c r="C10" s="55">
        <v>567.4</v>
      </c>
      <c r="D10" s="55">
        <v>781.3</v>
      </c>
      <c r="E10" s="55">
        <v>1034.3</v>
      </c>
      <c r="F10">
        <f t="shared" si="0"/>
        <v>794.33333333333337</v>
      </c>
    </row>
    <row r="11" spans="1:6">
      <c r="A11" s="58"/>
      <c r="B11" s="53" t="s">
        <v>365</v>
      </c>
      <c r="C11" s="55">
        <v>528.9</v>
      </c>
      <c r="D11" s="55">
        <v>726.3</v>
      </c>
      <c r="E11" s="55">
        <v>968.6</v>
      </c>
      <c r="F11">
        <f t="shared" si="0"/>
        <v>741.26666666666654</v>
      </c>
    </row>
    <row r="12" spans="1:6">
      <c r="A12" s="58"/>
      <c r="B12" s="53" t="s">
        <v>366</v>
      </c>
      <c r="C12" s="55">
        <v>476.8</v>
      </c>
      <c r="D12" s="55">
        <v>684</v>
      </c>
      <c r="E12" s="55">
        <v>923.5</v>
      </c>
      <c r="F12">
        <f t="shared" si="0"/>
        <v>694.76666666666677</v>
      </c>
    </row>
    <row r="13" spans="1:6">
      <c r="A13" s="58"/>
      <c r="B13" s="53" t="s">
        <v>367</v>
      </c>
      <c r="C13" s="55">
        <v>449.6</v>
      </c>
      <c r="D13" s="55">
        <v>654.1</v>
      </c>
      <c r="E13" s="55">
        <v>895.2</v>
      </c>
      <c r="F13">
        <f t="shared" si="0"/>
        <v>666.30000000000007</v>
      </c>
    </row>
    <row r="14" spans="1:6">
      <c r="A14" s="58"/>
      <c r="B14" s="53" t="s">
        <v>368</v>
      </c>
      <c r="C14" s="55">
        <v>428.1</v>
      </c>
      <c r="D14" s="55">
        <v>630.79999999999995</v>
      </c>
      <c r="E14" s="55">
        <v>866</v>
      </c>
      <c r="F14">
        <f t="shared" si="0"/>
        <v>641.63333333333333</v>
      </c>
    </row>
    <row r="15" spans="1:6">
      <c r="A15" s="58"/>
      <c r="B15" s="53" t="s">
        <v>369</v>
      </c>
      <c r="C15" s="55">
        <v>406.3</v>
      </c>
      <c r="D15" s="55">
        <v>618</v>
      </c>
      <c r="E15" s="55">
        <v>848.9</v>
      </c>
      <c r="F15">
        <f t="shared" si="0"/>
        <v>624.4</v>
      </c>
    </row>
    <row r="16" spans="1:6">
      <c r="A16" s="58"/>
      <c r="B16" s="53" t="s">
        <v>370</v>
      </c>
      <c r="C16" s="55">
        <v>388.7</v>
      </c>
      <c r="D16" s="55">
        <v>604.1</v>
      </c>
      <c r="E16" s="55">
        <v>839.3</v>
      </c>
      <c r="F16">
        <f t="shared" si="0"/>
        <v>610.69999999999993</v>
      </c>
    </row>
    <row r="17" spans="1:6">
      <c r="A17" s="58"/>
      <c r="B17" s="53" t="s">
        <v>371</v>
      </c>
      <c r="C17" s="55">
        <v>375.3</v>
      </c>
      <c r="D17" s="55">
        <v>583.29999999999995</v>
      </c>
      <c r="E17" s="55">
        <v>819</v>
      </c>
      <c r="F17">
        <f t="shared" si="0"/>
        <v>592.5333333333333</v>
      </c>
    </row>
  </sheetData>
  <mergeCells count="2">
    <mergeCell ref="A2:A17"/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0222-34A0-44E9-B8E1-15AB7237CF38}">
  <dimension ref="A1:U33"/>
  <sheetViews>
    <sheetView zoomScale="85" zoomScaleNormal="85" workbookViewId="0">
      <selection activeCell="T2" sqref="T2"/>
    </sheetView>
  </sheetViews>
  <sheetFormatPr defaultRowHeight="14.5"/>
  <cols>
    <col min="2" max="2" width="10.36328125" style="1" customWidth="1"/>
    <col min="3" max="3" width="12.08984375" style="1" customWidth="1"/>
    <col min="4" max="4" width="12.453125" style="1" customWidth="1"/>
    <col min="5" max="6" width="10.81640625" style="1" customWidth="1"/>
    <col min="7" max="7" width="10.6328125" style="6" customWidth="1"/>
    <col min="8" max="8" width="11.7265625" style="6" customWidth="1"/>
    <col min="9" max="9" width="9.7265625" style="1" customWidth="1"/>
    <col min="10" max="10" width="11" style="1" customWidth="1"/>
    <col min="11" max="11" width="9.90625" style="1" customWidth="1"/>
    <col min="12" max="12" width="12.08984375" style="1" customWidth="1"/>
    <col min="13" max="13" width="11" style="1" customWidth="1"/>
    <col min="14" max="15" width="11.6328125" style="1" customWidth="1"/>
    <col min="16" max="16" width="12.26953125" style="1" customWidth="1"/>
    <col min="17" max="21" width="12.26953125" customWidth="1"/>
  </cols>
  <sheetData>
    <row r="1" spans="1:21" s="5" customFormat="1" ht="40.5" customHeight="1">
      <c r="A1" s="5" t="s">
        <v>159</v>
      </c>
      <c r="B1" s="5" t="s">
        <v>0</v>
      </c>
      <c r="C1" s="5" t="s">
        <v>1</v>
      </c>
      <c r="D1" s="5" t="s">
        <v>2</v>
      </c>
      <c r="E1" s="5" t="s">
        <v>277</v>
      </c>
      <c r="F1" s="5" t="s">
        <v>7</v>
      </c>
      <c r="G1" s="5" t="s">
        <v>5</v>
      </c>
      <c r="H1" s="5" t="s">
        <v>6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297</v>
      </c>
      <c r="P1" s="5" t="s">
        <v>14</v>
      </c>
      <c r="Q1" s="5" t="s">
        <v>15</v>
      </c>
      <c r="R1" s="5" t="s">
        <v>16</v>
      </c>
      <c r="S1" s="5" t="s">
        <v>274</v>
      </c>
      <c r="T1" s="5" t="s">
        <v>275</v>
      </c>
      <c r="U1" s="5" t="s">
        <v>276</v>
      </c>
    </row>
    <row r="2" spans="1:21" s="11" customFormat="1" ht="13.5" thickBot="1">
      <c r="A2" s="9">
        <v>2025</v>
      </c>
      <c r="B2" s="10">
        <v>4421</v>
      </c>
      <c r="C2" s="10">
        <v>5739</v>
      </c>
      <c r="D2" s="10">
        <v>607667</v>
      </c>
      <c r="E2" s="10">
        <v>51</v>
      </c>
      <c r="F2" s="10">
        <v>107</v>
      </c>
      <c r="G2" s="10">
        <v>71</v>
      </c>
      <c r="H2" s="10">
        <v>144</v>
      </c>
      <c r="I2" s="10">
        <v>1517.5</v>
      </c>
      <c r="J2" s="10">
        <v>612825</v>
      </c>
      <c r="K2" s="10">
        <v>-1318</v>
      </c>
      <c r="L2" s="10">
        <v>7.3</v>
      </c>
      <c r="M2" s="10">
        <v>33728</v>
      </c>
      <c r="N2" s="18">
        <v>22093</v>
      </c>
      <c r="O2" s="18">
        <v>11635</v>
      </c>
      <c r="P2" s="10">
        <v>0</v>
      </c>
      <c r="Q2" s="10">
        <v>0</v>
      </c>
      <c r="R2" s="10">
        <v>0</v>
      </c>
      <c r="S2" s="10">
        <v>11.5</v>
      </c>
      <c r="T2" s="17">
        <v>2710.7666666666701</v>
      </c>
      <c r="U2" s="17">
        <v>41.5</v>
      </c>
    </row>
    <row r="3" spans="1:21" s="1" customFormat="1" ht="15" thickBot="1">
      <c r="A3" s="9">
        <v>2024</v>
      </c>
      <c r="B3" s="10">
        <v>4779</v>
      </c>
      <c r="C3" s="10">
        <v>5776</v>
      </c>
      <c r="D3" s="10">
        <v>602408</v>
      </c>
      <c r="E3" s="10">
        <v>52</v>
      </c>
      <c r="F3" s="10">
        <v>101</v>
      </c>
      <c r="G3" s="10">
        <v>68</v>
      </c>
      <c r="H3" s="10">
        <v>137</v>
      </c>
      <c r="I3" s="10">
        <v>1506</v>
      </c>
      <c r="J3" s="10">
        <v>605037</v>
      </c>
      <c r="K3" s="10">
        <v>-997</v>
      </c>
      <c r="L3" s="10">
        <v>7.9</v>
      </c>
      <c r="M3" s="10">
        <v>26136</v>
      </c>
      <c r="N3" s="18">
        <v>19880</v>
      </c>
      <c r="O3" s="18">
        <v>6256</v>
      </c>
      <c r="P3" s="17">
        <v>80.3</v>
      </c>
      <c r="Q3" s="17">
        <v>79.5</v>
      </c>
      <c r="R3" s="17">
        <v>81.2</v>
      </c>
      <c r="S3" s="17">
        <v>10.9</v>
      </c>
      <c r="T3" s="17">
        <v>2537.0249999999996</v>
      </c>
      <c r="U3" s="17">
        <v>39.4</v>
      </c>
    </row>
    <row r="4" spans="1:21" s="1" customFormat="1" ht="15" thickBot="1">
      <c r="A4" s="9">
        <v>2023</v>
      </c>
      <c r="B4" s="10">
        <v>5087</v>
      </c>
      <c r="C4" s="10">
        <v>5541</v>
      </c>
      <c r="D4" s="10">
        <v>586836</v>
      </c>
      <c r="E4" s="10">
        <v>53</v>
      </c>
      <c r="F4" s="10">
        <v>97</v>
      </c>
      <c r="G4" s="10">
        <v>65</v>
      </c>
      <c r="H4" s="10">
        <v>131</v>
      </c>
      <c r="I4" s="10">
        <v>1463.4</v>
      </c>
      <c r="J4" s="10">
        <v>594622</v>
      </c>
      <c r="K4" s="10">
        <v>-454</v>
      </c>
      <c r="L4" s="10">
        <v>8.6</v>
      </c>
      <c r="M4" s="10">
        <v>31621</v>
      </c>
      <c r="N4" s="18">
        <v>15628</v>
      </c>
      <c r="O4" s="18">
        <v>15993</v>
      </c>
      <c r="P4" s="17">
        <v>82.6</v>
      </c>
      <c r="Q4" s="17">
        <v>82.7</v>
      </c>
      <c r="R4" s="17">
        <v>82.5</v>
      </c>
      <c r="S4" s="17">
        <v>13</v>
      </c>
      <c r="T4" s="17">
        <v>2309.4749999999999</v>
      </c>
      <c r="U4" s="17">
        <v>35.299999999999997</v>
      </c>
    </row>
    <row r="5" spans="1:21" s="1" customFormat="1" ht="15" thickBot="1">
      <c r="A5" s="9">
        <v>2022</v>
      </c>
      <c r="B5" s="10">
        <v>5543</v>
      </c>
      <c r="C5" s="10">
        <v>6371</v>
      </c>
      <c r="D5" s="10">
        <v>563012</v>
      </c>
      <c r="E5" s="10">
        <v>54</v>
      </c>
      <c r="F5" s="10">
        <v>98</v>
      </c>
      <c r="G5" s="10">
        <v>66</v>
      </c>
      <c r="H5" s="10">
        <v>133</v>
      </c>
      <c r="I5" s="10">
        <v>1404</v>
      </c>
      <c r="J5" s="10">
        <v>574924</v>
      </c>
      <c r="K5" s="10">
        <v>-828</v>
      </c>
      <c r="L5" s="10">
        <v>9.6</v>
      </c>
      <c r="M5" s="10">
        <v>41867</v>
      </c>
      <c r="N5" s="18">
        <v>16231</v>
      </c>
      <c r="O5" s="18">
        <v>25636</v>
      </c>
      <c r="P5" s="17">
        <v>83</v>
      </c>
      <c r="Q5" s="17">
        <v>82</v>
      </c>
      <c r="R5" s="17">
        <v>83.8</v>
      </c>
      <c r="S5" s="17">
        <v>13.9</v>
      </c>
      <c r="T5" s="17">
        <v>2068.2250000000004</v>
      </c>
      <c r="U5" s="17">
        <v>30.1</v>
      </c>
    </row>
    <row r="6" spans="1:21" s="1" customFormat="1" ht="15" thickBot="1">
      <c r="A6" s="9">
        <v>2021</v>
      </c>
      <c r="B6" s="10">
        <v>6039</v>
      </c>
      <c r="C6" s="10">
        <v>7333</v>
      </c>
      <c r="D6" s="10">
        <v>556490</v>
      </c>
      <c r="E6" s="10">
        <v>54</v>
      </c>
      <c r="F6" s="10">
        <v>99</v>
      </c>
      <c r="G6" s="10">
        <v>66</v>
      </c>
      <c r="H6" s="10">
        <v>134</v>
      </c>
      <c r="I6" s="10">
        <v>1387.8</v>
      </c>
      <c r="J6" s="10">
        <v>559751</v>
      </c>
      <c r="K6" s="10">
        <v>-1294</v>
      </c>
      <c r="L6" s="10">
        <v>10.8</v>
      </c>
      <c r="M6" s="10">
        <v>21095</v>
      </c>
      <c r="N6" s="18">
        <v>13279</v>
      </c>
      <c r="O6" s="18">
        <v>7816</v>
      </c>
      <c r="P6" s="17">
        <v>82.6</v>
      </c>
      <c r="Q6" s="17">
        <v>82.5</v>
      </c>
      <c r="R6" s="17">
        <v>82.7</v>
      </c>
      <c r="S6" s="17">
        <v>11.5</v>
      </c>
      <c r="T6" s="17">
        <v>1817.9250000000002</v>
      </c>
      <c r="U6" s="17">
        <v>26.5</v>
      </c>
    </row>
    <row r="7" spans="1:21" s="1" customFormat="1" ht="15" thickBot="1">
      <c r="A7" s="9">
        <v>2020</v>
      </c>
      <c r="B7" s="10">
        <v>5720</v>
      </c>
      <c r="C7" s="10">
        <v>6419</v>
      </c>
      <c r="D7" s="10">
        <v>550357</v>
      </c>
      <c r="E7" s="10">
        <v>52</v>
      </c>
      <c r="F7" s="10">
        <v>99</v>
      </c>
      <c r="G7" s="10">
        <v>64</v>
      </c>
      <c r="H7" s="10">
        <v>137</v>
      </c>
      <c r="I7" s="10">
        <v>1372.5</v>
      </c>
      <c r="J7" s="10">
        <v>553424</v>
      </c>
      <c r="K7" s="10">
        <v>-699</v>
      </c>
      <c r="L7" s="10">
        <v>10.3</v>
      </c>
      <c r="M7" s="10">
        <v>21517</v>
      </c>
      <c r="N7" s="18">
        <v>14685</v>
      </c>
      <c r="O7" s="18">
        <v>6832</v>
      </c>
      <c r="P7" s="17">
        <v>81.400000000000006</v>
      </c>
      <c r="Q7" s="17">
        <v>81</v>
      </c>
      <c r="R7" s="17">
        <v>81.8</v>
      </c>
      <c r="S7" s="17">
        <v>14.7</v>
      </c>
      <c r="T7" s="17">
        <v>1644.875</v>
      </c>
      <c r="U7" s="17">
        <v>26.1</v>
      </c>
    </row>
    <row r="8" spans="1:21" s="1" customFormat="1" ht="15" thickBot="1">
      <c r="A8" s="9">
        <v>2019</v>
      </c>
      <c r="B8" s="10">
        <v>6019</v>
      </c>
      <c r="C8" s="10">
        <v>5612</v>
      </c>
      <c r="D8" s="10">
        <v>543832</v>
      </c>
      <c r="E8" s="10">
        <v>50</v>
      </c>
      <c r="F8" s="10">
        <v>99</v>
      </c>
      <c r="G8" s="10">
        <v>64</v>
      </c>
      <c r="H8" s="10">
        <v>136</v>
      </c>
      <c r="I8" s="10">
        <v>1356.2</v>
      </c>
      <c r="J8" s="10">
        <v>547095</v>
      </c>
      <c r="K8" s="10">
        <v>407</v>
      </c>
      <c r="L8" s="10">
        <v>11</v>
      </c>
      <c r="M8" s="10">
        <v>22673</v>
      </c>
      <c r="N8" s="18">
        <v>16555</v>
      </c>
      <c r="O8" s="18">
        <v>6118</v>
      </c>
      <c r="P8" s="17">
        <v>82.5</v>
      </c>
      <c r="Q8" s="17">
        <v>83.2</v>
      </c>
      <c r="R8" s="17">
        <v>81.8</v>
      </c>
      <c r="S8" s="17">
        <v>13.4</v>
      </c>
      <c r="T8" s="17">
        <v>1501.1</v>
      </c>
      <c r="U8" s="17">
        <v>24</v>
      </c>
    </row>
    <row r="9" spans="1:21" s="1" customFormat="1" ht="15" thickBot="1">
      <c r="A9" s="9">
        <v>2018</v>
      </c>
      <c r="B9" s="10">
        <v>6613</v>
      </c>
      <c r="C9" s="10">
        <v>5723</v>
      </c>
      <c r="D9" s="10">
        <v>540623</v>
      </c>
      <c r="E9" s="10">
        <v>50</v>
      </c>
      <c r="F9" s="10">
        <v>99</v>
      </c>
      <c r="G9" s="10">
        <v>64</v>
      </c>
      <c r="H9" s="10">
        <v>137</v>
      </c>
      <c r="I9" s="10">
        <v>1348.2</v>
      </c>
      <c r="J9" s="10">
        <v>542228</v>
      </c>
      <c r="K9" s="10">
        <v>890</v>
      </c>
      <c r="L9" s="10">
        <v>12.2</v>
      </c>
      <c r="M9" s="10">
        <v>19545</v>
      </c>
      <c r="N9" s="18">
        <v>17226</v>
      </c>
      <c r="O9" s="18">
        <v>2319</v>
      </c>
      <c r="P9" s="17">
        <v>81.2</v>
      </c>
      <c r="Q9" s="17">
        <v>80.7</v>
      </c>
      <c r="R9" s="17">
        <v>81.7</v>
      </c>
      <c r="S9" s="17">
        <v>12.6</v>
      </c>
      <c r="T9" s="17">
        <v>1069.6000000000001</v>
      </c>
      <c r="U9" s="17">
        <v>21.6</v>
      </c>
    </row>
    <row r="10" spans="1:21" s="1" customFormat="1" ht="15" thickBot="1">
      <c r="A10" s="9">
        <v>2017</v>
      </c>
      <c r="B10" s="10">
        <v>6676</v>
      </c>
      <c r="C10" s="10">
        <v>5692</v>
      </c>
      <c r="D10" s="10">
        <v>538724</v>
      </c>
      <c r="E10" s="10">
        <v>49</v>
      </c>
      <c r="F10" s="10">
        <v>100</v>
      </c>
      <c r="G10" s="10">
        <v>65</v>
      </c>
      <c r="H10" s="10">
        <v>137</v>
      </c>
      <c r="I10" s="10">
        <v>1343.5</v>
      </c>
      <c r="J10" s="10">
        <v>539674</v>
      </c>
      <c r="K10" s="10">
        <v>984</v>
      </c>
      <c r="L10" s="10">
        <v>12.4</v>
      </c>
      <c r="M10" s="10">
        <v>18626</v>
      </c>
      <c r="N10" s="18">
        <v>17711</v>
      </c>
      <c r="O10" s="18">
        <v>915</v>
      </c>
      <c r="P10" s="17">
        <v>80</v>
      </c>
      <c r="Q10" s="17">
        <v>78.8</v>
      </c>
      <c r="R10" s="17">
        <v>81.099999999999994</v>
      </c>
      <c r="S10" s="17">
        <v>9.6999999999999993</v>
      </c>
      <c r="T10" s="17">
        <v>966.875</v>
      </c>
      <c r="U10" s="17">
        <v>19.8</v>
      </c>
    </row>
    <row r="11" spans="1:21" s="1" customFormat="1" ht="15" thickBot="1">
      <c r="A11" s="9">
        <v>2016</v>
      </c>
      <c r="B11" s="10">
        <v>6998</v>
      </c>
      <c r="C11" s="10">
        <v>5954</v>
      </c>
      <c r="D11" s="10">
        <v>537241</v>
      </c>
      <c r="E11" s="10">
        <v>48</v>
      </c>
      <c r="F11" s="10">
        <v>101</v>
      </c>
      <c r="G11" s="10">
        <v>65</v>
      </c>
      <c r="H11" s="10">
        <v>138</v>
      </c>
      <c r="I11" s="10">
        <v>1339.8</v>
      </c>
      <c r="J11" s="10">
        <v>537983</v>
      </c>
      <c r="K11" s="10">
        <v>1044</v>
      </c>
      <c r="L11" s="10">
        <v>13</v>
      </c>
      <c r="M11" s="10">
        <v>18778</v>
      </c>
      <c r="N11" s="18">
        <v>18339</v>
      </c>
      <c r="O11" s="18">
        <v>439</v>
      </c>
      <c r="P11" s="17">
        <v>77.599999999999994</v>
      </c>
      <c r="Q11" s="17">
        <v>77.900000000000006</v>
      </c>
      <c r="R11" s="17">
        <v>77.5</v>
      </c>
      <c r="S11" s="17">
        <v>9</v>
      </c>
      <c r="T11" s="17">
        <v>885.62499999999989</v>
      </c>
      <c r="U11" s="17">
        <v>18.899999999999999</v>
      </c>
    </row>
    <row r="12" spans="1:21" s="1" customFormat="1" ht="15" thickBot="1">
      <c r="A12" s="9">
        <v>2015</v>
      </c>
      <c r="B12" s="10">
        <v>6822</v>
      </c>
      <c r="C12" s="10">
        <v>5890</v>
      </c>
      <c r="D12" s="10">
        <v>536947</v>
      </c>
      <c r="E12" s="10">
        <v>46</v>
      </c>
      <c r="F12" s="10">
        <v>101</v>
      </c>
      <c r="G12" s="10">
        <v>66</v>
      </c>
      <c r="H12" s="10">
        <v>139</v>
      </c>
      <c r="I12" s="10">
        <v>1342.4</v>
      </c>
      <c r="J12" s="10">
        <v>537094</v>
      </c>
      <c r="K12" s="10">
        <v>932</v>
      </c>
      <c r="L12" s="10">
        <v>12.7</v>
      </c>
      <c r="M12" s="10">
        <v>17042</v>
      </c>
      <c r="N12" s="18">
        <v>17680</v>
      </c>
      <c r="O12" s="18">
        <v>-638</v>
      </c>
      <c r="P12" s="17">
        <v>74.099999999999994</v>
      </c>
      <c r="Q12" s="17">
        <v>73.8</v>
      </c>
      <c r="R12" s="17">
        <v>74.3</v>
      </c>
      <c r="S12" s="17">
        <v>14.2</v>
      </c>
      <c r="T12" s="17">
        <v>823.3</v>
      </c>
      <c r="U12" s="17">
        <v>18.2</v>
      </c>
    </row>
    <row r="13" spans="1:21" s="1" customFormat="1" ht="15" thickBot="1">
      <c r="A13" s="9">
        <v>2014</v>
      </c>
      <c r="B13" s="10">
        <v>6607</v>
      </c>
      <c r="C13" s="10">
        <v>5841</v>
      </c>
      <c r="D13" s="10">
        <v>535362</v>
      </c>
      <c r="E13" s="10">
        <v>45</v>
      </c>
      <c r="F13" s="10">
        <v>101</v>
      </c>
      <c r="G13" s="10">
        <v>66</v>
      </c>
      <c r="H13" s="10">
        <v>138</v>
      </c>
      <c r="I13" s="10">
        <v>1335.1</v>
      </c>
      <c r="J13" s="10">
        <v>536155</v>
      </c>
      <c r="K13" s="10">
        <v>766</v>
      </c>
      <c r="L13" s="10">
        <v>12.3</v>
      </c>
      <c r="M13" s="10">
        <v>16868</v>
      </c>
      <c r="N13" s="18">
        <v>16049</v>
      </c>
      <c r="O13" s="18">
        <v>819</v>
      </c>
      <c r="P13" s="17">
        <v>73.900000000000006</v>
      </c>
      <c r="Q13" s="17">
        <v>74</v>
      </c>
      <c r="R13" s="17">
        <v>73.7</v>
      </c>
      <c r="S13" s="17">
        <v>12.4</v>
      </c>
      <c r="T13" s="17">
        <v>794.45</v>
      </c>
      <c r="U13" s="17">
        <v>17.100000000000001</v>
      </c>
    </row>
    <row r="14" spans="1:21" s="1" customFormat="1" ht="15" thickBot="1">
      <c r="A14" s="9">
        <v>2013</v>
      </c>
      <c r="B14" s="10">
        <v>6170</v>
      </c>
      <c r="C14" s="10">
        <v>5812</v>
      </c>
      <c r="D14" s="10">
        <v>534619</v>
      </c>
      <c r="E14" s="10">
        <v>44</v>
      </c>
      <c r="F14" s="10">
        <v>101</v>
      </c>
      <c r="G14" s="10">
        <v>67</v>
      </c>
      <c r="H14" s="10">
        <v>138</v>
      </c>
      <c r="I14" s="10">
        <v>1333.2</v>
      </c>
      <c r="J14" s="10">
        <v>534991</v>
      </c>
      <c r="K14" s="10">
        <v>358</v>
      </c>
      <c r="L14" s="10">
        <v>11.5</v>
      </c>
      <c r="M14" s="10">
        <v>15840</v>
      </c>
      <c r="N14" s="18">
        <v>15455</v>
      </c>
      <c r="O14" s="18">
        <v>385</v>
      </c>
      <c r="P14" s="17">
        <v>72.400000000000006</v>
      </c>
      <c r="Q14" s="17">
        <v>72.3</v>
      </c>
      <c r="R14" s="17">
        <v>72.400000000000006</v>
      </c>
      <c r="S14" s="17">
        <v>13.6</v>
      </c>
      <c r="T14" s="17">
        <v>761.52499999999998</v>
      </c>
      <c r="U14" s="17">
        <v>15.9</v>
      </c>
    </row>
    <row r="15" spans="1:21" s="1" customFormat="1" ht="15" thickBot="1">
      <c r="A15" s="9">
        <v>2012</v>
      </c>
      <c r="B15" s="10">
        <v>6276</v>
      </c>
      <c r="C15" s="10">
        <v>5740</v>
      </c>
      <c r="D15" s="10">
        <v>533279</v>
      </c>
      <c r="E15" s="10">
        <v>43</v>
      </c>
      <c r="F15" s="10">
        <v>103</v>
      </c>
      <c r="G15" s="10">
        <v>68</v>
      </c>
      <c r="H15" s="10">
        <v>139</v>
      </c>
      <c r="I15" s="10">
        <v>1329.9</v>
      </c>
      <c r="J15" s="10">
        <v>533949</v>
      </c>
      <c r="K15" s="10">
        <v>536</v>
      </c>
      <c r="L15" s="10">
        <v>11.8</v>
      </c>
      <c r="M15" s="10">
        <v>15914</v>
      </c>
      <c r="N15" s="18">
        <v>15110</v>
      </c>
      <c r="O15" s="18">
        <v>804</v>
      </c>
      <c r="P15" s="17">
        <v>70.7</v>
      </c>
      <c r="Q15" s="17">
        <v>70.3</v>
      </c>
      <c r="R15" s="17">
        <v>71</v>
      </c>
      <c r="S15" s="17">
        <v>12</v>
      </c>
      <c r="T15" s="17">
        <v>730.8</v>
      </c>
      <c r="U15" s="17">
        <v>14.6</v>
      </c>
    </row>
    <row r="16" spans="1:21" s="1" customFormat="1" ht="15" thickBot="1">
      <c r="A16" s="9">
        <v>2011</v>
      </c>
      <c r="B16" s="10">
        <v>6466</v>
      </c>
      <c r="C16" s="10">
        <v>5682</v>
      </c>
      <c r="D16" s="10">
        <v>536127</v>
      </c>
      <c r="E16" s="10">
        <v>42</v>
      </c>
      <c r="F16" s="10">
        <v>103</v>
      </c>
      <c r="G16" s="10">
        <v>68</v>
      </c>
      <c r="H16" s="10">
        <v>139</v>
      </c>
      <c r="I16" s="10">
        <v>1337</v>
      </c>
      <c r="J16" s="10">
        <v>534703</v>
      </c>
      <c r="K16" s="10">
        <v>784</v>
      </c>
      <c r="L16" s="10">
        <v>12.1</v>
      </c>
      <c r="M16" s="10">
        <v>9958</v>
      </c>
      <c r="N16" s="18">
        <v>13590</v>
      </c>
      <c r="O16" s="18">
        <v>-3632</v>
      </c>
      <c r="P16" s="17">
        <v>68.8</v>
      </c>
      <c r="Q16" s="17">
        <v>67.099999999999994</v>
      </c>
      <c r="R16" s="17">
        <v>70.3</v>
      </c>
      <c r="S16" s="17">
        <v>12.8</v>
      </c>
      <c r="T16" s="17">
        <v>708.65000000000009</v>
      </c>
      <c r="U16" s="17">
        <v>13.1</v>
      </c>
    </row>
    <row r="17" spans="1:21" s="1" customFormat="1" ht="15" thickBot="1">
      <c r="A17" s="9">
        <v>2010</v>
      </c>
      <c r="B17" s="10">
        <v>6681</v>
      </c>
      <c r="C17" s="10">
        <v>5648</v>
      </c>
      <c r="D17" s="10">
        <v>543191</v>
      </c>
      <c r="E17" s="10">
        <v>41</v>
      </c>
      <c r="F17" s="10">
        <v>105</v>
      </c>
      <c r="G17" s="10">
        <v>70</v>
      </c>
      <c r="H17" s="10">
        <v>143</v>
      </c>
      <c r="I17" s="10">
        <v>1354.6</v>
      </c>
      <c r="J17" s="10">
        <v>539659</v>
      </c>
      <c r="K17" s="10">
        <v>1033</v>
      </c>
      <c r="L17" s="10">
        <v>12.4</v>
      </c>
      <c r="M17" s="10">
        <v>7687</v>
      </c>
      <c r="N17" s="18">
        <v>15784</v>
      </c>
      <c r="O17" s="18">
        <v>-8097</v>
      </c>
      <c r="P17" s="17">
        <v>67.099999999999994</v>
      </c>
      <c r="Q17" s="17">
        <v>64.3</v>
      </c>
      <c r="R17" s="17">
        <v>69.400000000000006</v>
      </c>
      <c r="S17" s="17">
        <v>15.1</v>
      </c>
      <c r="T17" s="17">
        <v>689.07500000000005</v>
      </c>
      <c r="U17" s="17">
        <v>12.6</v>
      </c>
    </row>
    <row r="18" spans="1:21" s="1" customFormat="1" ht="15" thickBot="1">
      <c r="A18" s="9">
        <v>2009</v>
      </c>
      <c r="B18" s="10">
        <v>6527</v>
      </c>
      <c r="C18" s="10">
        <v>5761</v>
      </c>
      <c r="D18" s="10">
        <v>542969</v>
      </c>
      <c r="E18" s="10">
        <v>41</v>
      </c>
      <c r="F18" s="10">
        <v>106</v>
      </c>
      <c r="G18" s="10">
        <v>70</v>
      </c>
      <c r="H18" s="10">
        <v>143</v>
      </c>
      <c r="I18" s="10">
        <v>1354</v>
      </c>
      <c r="J18" s="10">
        <v>543080</v>
      </c>
      <c r="K18" s="10">
        <v>766</v>
      </c>
      <c r="L18" s="10">
        <v>12</v>
      </c>
      <c r="M18" s="10">
        <v>8215</v>
      </c>
      <c r="N18" s="18">
        <v>8759</v>
      </c>
      <c r="O18" s="18">
        <v>-544</v>
      </c>
      <c r="P18" s="17">
        <v>67.2</v>
      </c>
      <c r="Q18" s="17">
        <v>65.2</v>
      </c>
      <c r="R18" s="17">
        <v>68.900000000000006</v>
      </c>
      <c r="S18" s="17"/>
      <c r="T18" s="17">
        <v>707.125</v>
      </c>
      <c r="U18" s="17">
        <v>15.3</v>
      </c>
    </row>
    <row r="19" spans="1:21" s="1" customFormat="1" ht="15" thickBot="1">
      <c r="A19" s="9">
        <v>2008</v>
      </c>
      <c r="B19" s="10">
        <v>6177</v>
      </c>
      <c r="C19" s="10">
        <v>5917</v>
      </c>
      <c r="D19" s="10">
        <v>541596</v>
      </c>
      <c r="E19" s="10">
        <v>41</v>
      </c>
      <c r="F19" s="10">
        <v>105</v>
      </c>
      <c r="G19" s="10">
        <v>70</v>
      </c>
      <c r="H19" s="10">
        <v>141</v>
      </c>
      <c r="I19" s="10">
        <v>1350.6</v>
      </c>
      <c r="J19" s="10">
        <v>542283</v>
      </c>
      <c r="K19" s="10">
        <v>260</v>
      </c>
      <c r="L19" s="10">
        <v>11.4</v>
      </c>
      <c r="M19" s="10">
        <v>9438</v>
      </c>
      <c r="N19" s="18">
        <v>8325</v>
      </c>
      <c r="O19" s="18">
        <v>1113</v>
      </c>
      <c r="P19" s="17">
        <v>70.7</v>
      </c>
      <c r="Q19" s="17">
        <v>71.5</v>
      </c>
      <c r="R19" s="17">
        <v>70</v>
      </c>
      <c r="S19" s="17"/>
      <c r="T19" s="17"/>
      <c r="U19" s="17">
        <v>13.8</v>
      </c>
    </row>
    <row r="20" spans="1:21" s="1" customFormat="1" ht="15" thickBot="1">
      <c r="A20" s="9">
        <v>2007</v>
      </c>
      <c r="B20" s="10">
        <v>5634</v>
      </c>
      <c r="C20" s="10">
        <v>6166</v>
      </c>
      <c r="D20" s="10">
        <v>541732</v>
      </c>
      <c r="E20" s="10">
        <v>40</v>
      </c>
      <c r="F20" s="10">
        <v>101</v>
      </c>
      <c r="G20" s="10">
        <v>68</v>
      </c>
      <c r="H20" s="10">
        <v>136</v>
      </c>
      <c r="I20" s="10">
        <v>1351</v>
      </c>
      <c r="J20" s="10">
        <v>541664</v>
      </c>
      <c r="K20" s="10">
        <v>-532</v>
      </c>
      <c r="L20" s="10">
        <v>10.4</v>
      </c>
      <c r="M20" s="10">
        <v>8842</v>
      </c>
      <c r="N20" s="18">
        <v>8446</v>
      </c>
      <c r="O20" s="18">
        <v>396</v>
      </c>
      <c r="P20" s="17">
        <v>70.2</v>
      </c>
      <c r="Q20" s="17">
        <v>73</v>
      </c>
      <c r="R20" s="17">
        <v>67.900000000000006</v>
      </c>
      <c r="S20" s="17"/>
      <c r="T20" s="17"/>
      <c r="U20" s="17">
        <v>11.1</v>
      </c>
    </row>
    <row r="21" spans="1:21" s="1" customFormat="1" ht="15" thickBot="1">
      <c r="A21" s="9">
        <v>2006</v>
      </c>
      <c r="B21" s="10">
        <v>5407</v>
      </c>
      <c r="C21" s="10">
        <v>6072</v>
      </c>
      <c r="D21" s="10">
        <v>542525</v>
      </c>
      <c r="E21" s="10">
        <v>40</v>
      </c>
      <c r="F21" s="10">
        <v>97</v>
      </c>
      <c r="G21" s="10">
        <v>65</v>
      </c>
      <c r="H21" s="10">
        <v>131</v>
      </c>
      <c r="I21" s="10">
        <v>1352.9</v>
      </c>
      <c r="J21" s="10">
        <v>542129</v>
      </c>
      <c r="K21" s="10">
        <v>-665</v>
      </c>
      <c r="L21" s="10">
        <v>10</v>
      </c>
      <c r="M21" s="10">
        <v>8023</v>
      </c>
      <c r="N21" s="18">
        <v>8151</v>
      </c>
      <c r="O21" s="18">
        <v>-128</v>
      </c>
      <c r="P21" s="17">
        <v>70.099999999999994</v>
      </c>
      <c r="Q21" s="17">
        <v>72.5</v>
      </c>
      <c r="R21" s="17">
        <v>68.2</v>
      </c>
      <c r="S21" s="17"/>
      <c r="T21" s="17"/>
      <c r="U21" s="17">
        <v>9.3000000000000007</v>
      </c>
    </row>
    <row r="22" spans="1:21" s="1" customFormat="1" ht="15" thickBot="1">
      <c r="A22" s="9">
        <v>2005</v>
      </c>
      <c r="B22" s="10">
        <v>5011</v>
      </c>
      <c r="C22" s="10">
        <v>5515</v>
      </c>
      <c r="D22" s="10">
        <v>546773</v>
      </c>
      <c r="E22" s="10">
        <v>40</v>
      </c>
      <c r="F22" s="10">
        <v>92</v>
      </c>
      <c r="G22" s="10">
        <v>62</v>
      </c>
      <c r="H22" s="10">
        <v>123</v>
      </c>
      <c r="I22" s="10">
        <v>1363.5</v>
      </c>
      <c r="J22" s="10">
        <v>544649</v>
      </c>
      <c r="K22" s="10">
        <v>-504</v>
      </c>
      <c r="L22" s="10">
        <v>9.1999999999999993</v>
      </c>
      <c r="M22" s="10">
        <v>8116</v>
      </c>
      <c r="N22" s="18">
        <v>11860</v>
      </c>
      <c r="O22" s="18">
        <v>-3744</v>
      </c>
      <c r="P22" s="17">
        <v>68.900000000000006</v>
      </c>
      <c r="Q22" s="17">
        <v>72.7</v>
      </c>
      <c r="R22" s="17">
        <v>65.5</v>
      </c>
      <c r="S22" s="17"/>
      <c r="T22" s="17"/>
      <c r="U22" s="17">
        <v>7.9</v>
      </c>
    </row>
    <row r="23" spans="1:21" s="1" customFormat="1" ht="15" thickBot="1">
      <c r="A23" s="9">
        <v>2004</v>
      </c>
      <c r="B23" s="10">
        <v>4817</v>
      </c>
      <c r="C23" s="10">
        <v>5177</v>
      </c>
      <c r="D23" s="10">
        <v>548729</v>
      </c>
      <c r="E23" s="10">
        <v>39</v>
      </c>
      <c r="F23" s="10">
        <v>86</v>
      </c>
      <c r="G23" s="10">
        <v>58</v>
      </c>
      <c r="H23" s="10">
        <v>116</v>
      </c>
      <c r="I23" s="10">
        <v>1368.4</v>
      </c>
      <c r="J23" s="10">
        <v>547751</v>
      </c>
      <c r="K23" s="10">
        <v>-360</v>
      </c>
      <c r="L23" s="10">
        <v>8.8000000000000007</v>
      </c>
      <c r="M23" s="10">
        <v>8905</v>
      </c>
      <c r="N23" s="18">
        <v>10501</v>
      </c>
      <c r="O23" s="18">
        <v>-1596</v>
      </c>
      <c r="P23" s="17">
        <v>66.400000000000006</v>
      </c>
      <c r="Q23" s="17">
        <v>70.7</v>
      </c>
      <c r="R23" s="17">
        <v>62.8</v>
      </c>
      <c r="S23" s="17"/>
      <c r="T23" s="17"/>
      <c r="U23" s="17">
        <v>7.1</v>
      </c>
    </row>
    <row r="24" spans="1:21" s="1" customFormat="1" ht="15" thickBot="1">
      <c r="A24" s="9">
        <v>2003</v>
      </c>
      <c r="B24" s="10">
        <v>4636</v>
      </c>
      <c r="C24" s="10">
        <v>5367</v>
      </c>
      <c r="D24" s="10">
        <v>550213</v>
      </c>
      <c r="E24" s="10">
        <v>39</v>
      </c>
      <c r="F24" s="10">
        <v>79</v>
      </c>
      <c r="G24" s="10">
        <v>54</v>
      </c>
      <c r="H24" s="10">
        <v>106</v>
      </c>
      <c r="I24" s="10">
        <v>1372.1</v>
      </c>
      <c r="J24" s="10">
        <v>549471</v>
      </c>
      <c r="K24" s="10">
        <v>-731</v>
      </c>
      <c r="L24" s="10">
        <v>8.4</v>
      </c>
      <c r="M24" s="10">
        <v>9102</v>
      </c>
      <c r="N24" s="18">
        <v>9855</v>
      </c>
      <c r="O24" s="18">
        <v>-753</v>
      </c>
      <c r="P24" s="10"/>
      <c r="Q24" s="10"/>
      <c r="R24" s="10"/>
      <c r="S24" s="10"/>
      <c r="T24" s="10"/>
      <c r="U24" s="10">
        <v>6.5</v>
      </c>
    </row>
    <row r="25" spans="1:21" s="1" customFormat="1" ht="15" thickBot="1">
      <c r="A25" s="9">
        <v>2002</v>
      </c>
      <c r="B25" s="10">
        <v>4506</v>
      </c>
      <c r="C25" s="10">
        <v>5140</v>
      </c>
      <c r="D25" s="10">
        <v>550924</v>
      </c>
      <c r="E25" s="10">
        <v>40</v>
      </c>
      <c r="F25" s="10">
        <v>73</v>
      </c>
      <c r="G25" s="10">
        <v>50</v>
      </c>
      <c r="H25" s="10">
        <v>97</v>
      </c>
      <c r="I25" s="10">
        <v>1373.9</v>
      </c>
      <c r="J25" s="10">
        <v>550568</v>
      </c>
      <c r="K25" s="10">
        <v>-634</v>
      </c>
      <c r="L25" s="10">
        <v>8.1999999999999993</v>
      </c>
      <c r="M25" s="10">
        <v>5823</v>
      </c>
      <c r="N25" s="18">
        <v>5900</v>
      </c>
      <c r="O25" s="18">
        <v>-77</v>
      </c>
      <c r="P25" s="10"/>
      <c r="Q25" s="10"/>
      <c r="R25" s="10"/>
      <c r="S25" s="10"/>
      <c r="T25" s="10"/>
      <c r="U25" s="10">
        <v>5.7</v>
      </c>
    </row>
    <row r="26" spans="1:21" ht="15" thickBot="1">
      <c r="A26" s="9">
        <v>2001</v>
      </c>
      <c r="B26" s="10">
        <v>4449</v>
      </c>
      <c r="C26" s="10">
        <v>5045</v>
      </c>
      <c r="D26" s="10">
        <v>554281</v>
      </c>
      <c r="E26" s="10">
        <v>40</v>
      </c>
      <c r="F26" s="10">
        <v>67</v>
      </c>
      <c r="G26" s="10">
        <v>45</v>
      </c>
      <c r="H26" s="10">
        <v>89</v>
      </c>
      <c r="I26" s="10">
        <v>1382.2</v>
      </c>
      <c r="J26" s="10">
        <v>552603</v>
      </c>
      <c r="K26" s="10">
        <v>-596</v>
      </c>
      <c r="L26" s="10">
        <v>8.1</v>
      </c>
      <c r="M26" s="10">
        <v>4909</v>
      </c>
      <c r="N26" s="18">
        <v>7670</v>
      </c>
      <c r="O26" s="18">
        <v>-2761</v>
      </c>
      <c r="P26" s="10"/>
      <c r="Q26" s="10"/>
      <c r="R26" s="10"/>
      <c r="S26" s="10"/>
      <c r="T26" s="10"/>
      <c r="U26" s="10">
        <v>5.3</v>
      </c>
    </row>
    <row r="27" spans="1:21">
      <c r="A27" s="12">
        <v>2000</v>
      </c>
      <c r="B27" s="10"/>
      <c r="C27" s="10"/>
      <c r="D27" s="10">
        <v>558816</v>
      </c>
      <c r="E27" s="10"/>
      <c r="F27" s="10"/>
      <c r="G27" s="10"/>
      <c r="H27" s="10"/>
      <c r="I27" s="10"/>
      <c r="J27" s="10">
        <v>556549</v>
      </c>
      <c r="K27" s="10">
        <v>-55</v>
      </c>
      <c r="L27" s="10">
        <v>8.6</v>
      </c>
      <c r="M27" s="10">
        <v>3713</v>
      </c>
      <c r="N27" s="18">
        <v>8193</v>
      </c>
      <c r="O27" s="18">
        <v>-4480</v>
      </c>
      <c r="P27" s="10"/>
      <c r="Q27" s="10"/>
      <c r="R27" s="10"/>
      <c r="S27" s="10"/>
      <c r="T27" s="10"/>
      <c r="U27" s="10"/>
    </row>
    <row r="28" spans="1:21">
      <c r="A28" s="12">
        <v>1999</v>
      </c>
      <c r="B28" s="10"/>
      <c r="C28" s="10"/>
      <c r="D28" s="10">
        <v>562353</v>
      </c>
      <c r="E28" s="10"/>
      <c r="F28" s="10"/>
      <c r="G28" s="10"/>
      <c r="H28" s="10"/>
      <c r="I28" s="10"/>
      <c r="J28" s="10">
        <v>560585</v>
      </c>
      <c r="K28" s="10">
        <v>223</v>
      </c>
      <c r="L28" s="10">
        <v>9.1</v>
      </c>
      <c r="M28" s="10">
        <v>5265</v>
      </c>
      <c r="N28" s="18">
        <v>9025</v>
      </c>
      <c r="O28" s="18">
        <v>-3760</v>
      </c>
      <c r="P28" s="10"/>
      <c r="Q28" s="10"/>
      <c r="R28" s="10"/>
      <c r="S28" s="10"/>
      <c r="T28" s="10"/>
      <c r="U28" s="10"/>
    </row>
    <row r="29" spans="1:21">
      <c r="A29" s="12">
        <v>1998</v>
      </c>
      <c r="B29" s="10"/>
      <c r="C29" s="10"/>
      <c r="D29" s="10">
        <v>565881</v>
      </c>
      <c r="E29" s="10"/>
      <c r="F29" s="10"/>
      <c r="G29" s="10"/>
      <c r="H29" s="10"/>
      <c r="I29" s="10"/>
      <c r="J29" s="10">
        <v>564117</v>
      </c>
      <c r="K29" s="10">
        <v>35</v>
      </c>
      <c r="L29" s="10">
        <v>8.9</v>
      </c>
      <c r="M29" s="10">
        <v>6420</v>
      </c>
      <c r="N29" s="18">
        <v>9983</v>
      </c>
      <c r="O29" s="18">
        <v>-3563</v>
      </c>
      <c r="P29" s="10"/>
      <c r="Q29" s="10"/>
      <c r="R29" s="10"/>
      <c r="S29" s="10"/>
      <c r="T29" s="10"/>
      <c r="U29" s="10"/>
    </row>
    <row r="30" spans="1:21">
      <c r="A30" s="12">
        <v>1997</v>
      </c>
      <c r="B30" s="10"/>
      <c r="C30" s="10"/>
      <c r="D30" s="10">
        <v>571164</v>
      </c>
      <c r="E30" s="10"/>
      <c r="F30" s="10"/>
      <c r="G30" s="10"/>
      <c r="H30" s="10"/>
      <c r="I30" s="10"/>
      <c r="J30" s="10">
        <v>568523</v>
      </c>
      <c r="K30" s="10">
        <v>-189</v>
      </c>
      <c r="L30" s="10">
        <v>8.8000000000000007</v>
      </c>
      <c r="M30" s="10">
        <v>7301</v>
      </c>
      <c r="N30" s="18">
        <v>12395</v>
      </c>
      <c r="O30" s="18">
        <v>-5094</v>
      </c>
      <c r="P30" s="10"/>
      <c r="Q30" s="10"/>
      <c r="R30" s="10"/>
      <c r="S30" s="10"/>
      <c r="T30" s="10"/>
      <c r="U30" s="10"/>
    </row>
    <row r="31" spans="1:21">
      <c r="A31" s="12">
        <v>1996</v>
      </c>
      <c r="B31" s="10"/>
      <c r="C31" s="10"/>
      <c r="D31" s="10">
        <v>578327</v>
      </c>
      <c r="E31" s="10"/>
      <c r="F31" s="10"/>
      <c r="G31" s="10"/>
      <c r="H31" s="10"/>
      <c r="I31" s="10"/>
      <c r="J31" s="10">
        <v>574746</v>
      </c>
      <c r="K31" s="10">
        <v>-298</v>
      </c>
      <c r="L31" s="10">
        <v>8.8000000000000007</v>
      </c>
      <c r="M31" s="10">
        <v>6555</v>
      </c>
      <c r="N31" s="18">
        <v>13420</v>
      </c>
      <c r="O31" s="18">
        <v>-6865</v>
      </c>
      <c r="P31" s="10"/>
      <c r="Q31" s="10"/>
      <c r="R31" s="10"/>
      <c r="S31" s="10"/>
      <c r="T31" s="10"/>
      <c r="U31" s="10"/>
    </row>
    <row r="32" spans="1:21">
      <c r="A32" s="12">
        <v>1995</v>
      </c>
      <c r="B32" s="10"/>
      <c r="C32" s="10"/>
      <c r="D32" s="10"/>
      <c r="E32" s="10"/>
      <c r="F32" s="10"/>
      <c r="G32" s="10"/>
      <c r="H32" s="10"/>
      <c r="I32" s="10"/>
      <c r="J32" s="10"/>
      <c r="K32" s="10">
        <v>49</v>
      </c>
      <c r="L32" s="10">
        <v>9.9</v>
      </c>
      <c r="M32" s="10">
        <v>7329</v>
      </c>
      <c r="N32" s="18">
        <v>13222</v>
      </c>
      <c r="O32" s="18">
        <v>-5893</v>
      </c>
      <c r="P32" s="10"/>
      <c r="Q32" s="10"/>
      <c r="R32" s="10"/>
      <c r="S32" s="10"/>
      <c r="T32" s="10"/>
      <c r="U32" s="10"/>
    </row>
    <row r="33" spans="1:21">
      <c r="A33" s="12">
        <v>1994</v>
      </c>
      <c r="B33" s="10"/>
      <c r="C33" s="10"/>
      <c r="D33" s="10"/>
      <c r="E33" s="10"/>
      <c r="F33" s="10"/>
      <c r="G33" s="10"/>
      <c r="H33" s="10"/>
      <c r="I33" s="10"/>
      <c r="J33" s="10"/>
      <c r="K33" s="10">
        <v>20</v>
      </c>
      <c r="L33" s="10">
        <v>10</v>
      </c>
      <c r="M33" s="10">
        <v>6059</v>
      </c>
      <c r="N33" s="18">
        <v>13024</v>
      </c>
      <c r="O33" s="18">
        <v>-6965</v>
      </c>
      <c r="P33" s="10"/>
      <c r="Q33" s="10"/>
      <c r="R33" s="10"/>
      <c r="S33" s="10"/>
      <c r="T33" s="10"/>
      <c r="U33" s="10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5EAE-BD95-43DE-A42C-5A04BBB40AD5}">
  <dimension ref="A1:E26"/>
  <sheetViews>
    <sheetView workbookViewId="0">
      <selection sqref="A1:A1048576"/>
    </sheetView>
  </sheetViews>
  <sheetFormatPr defaultRowHeight="14.5"/>
  <cols>
    <col min="1" max="1" width="8.7265625" style="2"/>
    <col min="2" max="4" width="8.7265625" style="19"/>
    <col min="5" max="16384" width="8.7265625" style="2"/>
  </cols>
  <sheetData>
    <row r="1" spans="1:5" s="22" customFormat="1" ht="25">
      <c r="A1" s="20" t="s">
        <v>159</v>
      </c>
      <c r="B1" s="7" t="s">
        <v>160</v>
      </c>
      <c r="C1" s="7" t="s">
        <v>3</v>
      </c>
      <c r="D1" s="7" t="s">
        <v>4</v>
      </c>
      <c r="E1" s="21"/>
    </row>
    <row r="2" spans="1:5">
      <c r="A2" s="23">
        <v>2025</v>
      </c>
      <c r="B2" s="24">
        <v>51</v>
      </c>
      <c r="C2" s="24">
        <v>25</v>
      </c>
      <c r="D2" s="24">
        <v>27</v>
      </c>
      <c r="E2" s="8"/>
    </row>
    <row r="3" spans="1:5">
      <c r="A3" s="23">
        <v>2024</v>
      </c>
      <c r="B3" s="24">
        <v>52</v>
      </c>
      <c r="C3" s="24">
        <v>26</v>
      </c>
      <c r="D3" s="24">
        <v>26</v>
      </c>
      <c r="E3" s="8"/>
    </row>
    <row r="4" spans="1:5">
      <c r="A4" s="23">
        <v>2023</v>
      </c>
      <c r="B4" s="24">
        <v>53</v>
      </c>
      <c r="C4" s="24">
        <v>26.8</v>
      </c>
      <c r="D4" s="24">
        <v>26.1</v>
      </c>
      <c r="E4" s="8"/>
    </row>
    <row r="5" spans="1:5">
      <c r="A5" s="23">
        <v>2022</v>
      </c>
      <c r="B5" s="24">
        <v>54</v>
      </c>
      <c r="C5" s="24">
        <v>27</v>
      </c>
      <c r="D5" s="24">
        <v>27</v>
      </c>
      <c r="E5" s="8"/>
    </row>
    <row r="6" spans="1:5">
      <c r="A6" s="23">
        <v>2021</v>
      </c>
      <c r="B6" s="24">
        <v>54</v>
      </c>
      <c r="C6" s="24">
        <v>27</v>
      </c>
      <c r="D6" s="24">
        <v>27</v>
      </c>
      <c r="E6" s="8"/>
    </row>
    <row r="7" spans="1:5">
      <c r="A7" s="23">
        <v>2020</v>
      </c>
      <c r="B7" s="24">
        <v>52</v>
      </c>
      <c r="C7" s="24">
        <v>26</v>
      </c>
      <c r="D7" s="24">
        <v>26</v>
      </c>
      <c r="E7" s="8"/>
    </row>
    <row r="8" spans="1:5">
      <c r="A8" s="23">
        <v>2019</v>
      </c>
      <c r="B8" s="24">
        <v>50</v>
      </c>
      <c r="C8" s="24">
        <v>25</v>
      </c>
      <c r="D8" s="24">
        <v>25</v>
      </c>
      <c r="E8" s="8"/>
    </row>
    <row r="9" spans="1:5">
      <c r="A9" s="23">
        <v>2018</v>
      </c>
      <c r="B9" s="24">
        <v>50</v>
      </c>
      <c r="C9" s="24">
        <v>25</v>
      </c>
      <c r="D9" s="24">
        <v>25</v>
      </c>
      <c r="E9" s="8"/>
    </row>
    <row r="10" spans="1:5">
      <c r="A10" s="23">
        <v>2017</v>
      </c>
      <c r="B10" s="24">
        <v>49</v>
      </c>
      <c r="C10" s="24">
        <v>24</v>
      </c>
      <c r="D10" s="24">
        <v>25</v>
      </c>
      <c r="E10" s="8"/>
    </row>
    <row r="11" spans="1:5">
      <c r="A11" s="23">
        <v>2016</v>
      </c>
      <c r="B11" s="24">
        <v>48</v>
      </c>
      <c r="C11" s="24">
        <v>24</v>
      </c>
      <c r="D11" s="24">
        <v>24</v>
      </c>
      <c r="E11" s="8"/>
    </row>
    <row r="12" spans="1:5">
      <c r="A12" s="23">
        <v>2015</v>
      </c>
      <c r="B12" s="24">
        <v>46</v>
      </c>
      <c r="C12" s="24">
        <v>23</v>
      </c>
      <c r="D12" s="24">
        <v>23</v>
      </c>
      <c r="E12" s="8"/>
    </row>
    <row r="13" spans="1:5">
      <c r="A13" s="23">
        <v>2014</v>
      </c>
      <c r="B13" s="24">
        <v>45</v>
      </c>
      <c r="C13" s="24">
        <v>22</v>
      </c>
      <c r="D13" s="24">
        <v>23</v>
      </c>
      <c r="E13" s="8"/>
    </row>
    <row r="14" spans="1:5">
      <c r="A14" s="23">
        <v>2013</v>
      </c>
      <c r="B14" s="24">
        <v>44</v>
      </c>
      <c r="C14" s="24">
        <v>22</v>
      </c>
      <c r="D14" s="24">
        <v>22</v>
      </c>
      <c r="E14" s="8"/>
    </row>
    <row r="15" spans="1:5">
      <c r="A15" s="23">
        <v>2012</v>
      </c>
      <c r="B15" s="24">
        <v>43</v>
      </c>
      <c r="C15" s="24">
        <v>21</v>
      </c>
      <c r="D15" s="24">
        <v>22</v>
      </c>
      <c r="E15" s="8"/>
    </row>
    <row r="16" spans="1:5">
      <c r="A16" s="23">
        <v>2011</v>
      </c>
      <c r="B16" s="24">
        <v>42</v>
      </c>
      <c r="C16" s="24">
        <v>21</v>
      </c>
      <c r="D16" s="24">
        <v>21</v>
      </c>
      <c r="E16" s="8"/>
    </row>
    <row r="17" spans="1:5">
      <c r="A17" s="23">
        <v>2010</v>
      </c>
      <c r="B17" s="24">
        <v>41</v>
      </c>
      <c r="C17" s="24">
        <v>20</v>
      </c>
      <c r="D17" s="24">
        <v>21</v>
      </c>
      <c r="E17" s="8"/>
    </row>
    <row r="18" spans="1:5">
      <c r="A18" s="23">
        <v>2009</v>
      </c>
      <c r="B18" s="24">
        <v>41</v>
      </c>
      <c r="C18" s="24">
        <v>20</v>
      </c>
      <c r="D18" s="24">
        <v>21</v>
      </c>
      <c r="E18" s="8"/>
    </row>
    <row r="19" spans="1:5">
      <c r="A19" s="23">
        <v>2008</v>
      </c>
      <c r="B19" s="24">
        <v>41</v>
      </c>
      <c r="C19" s="24">
        <v>20</v>
      </c>
      <c r="D19" s="24">
        <v>21</v>
      </c>
      <c r="E19" s="8"/>
    </row>
    <row r="20" spans="1:5">
      <c r="A20" s="23">
        <v>2007</v>
      </c>
      <c r="B20" s="24">
        <v>40</v>
      </c>
      <c r="C20" s="24">
        <v>20</v>
      </c>
      <c r="D20" s="24">
        <v>20</v>
      </c>
      <c r="E20" s="8"/>
    </row>
    <row r="21" spans="1:5">
      <c r="A21" s="23">
        <v>2006</v>
      </c>
      <c r="B21" s="24">
        <v>40</v>
      </c>
      <c r="C21" s="24">
        <v>20</v>
      </c>
      <c r="D21" s="24">
        <v>20</v>
      </c>
      <c r="E21" s="8"/>
    </row>
    <row r="22" spans="1:5">
      <c r="A22" s="23">
        <v>2005</v>
      </c>
      <c r="B22" s="24">
        <v>40</v>
      </c>
      <c r="C22" s="24">
        <v>21</v>
      </c>
      <c r="D22" s="24">
        <v>19</v>
      </c>
      <c r="E22" s="8"/>
    </row>
    <row r="23" spans="1:5">
      <c r="A23" s="23">
        <v>2004</v>
      </c>
      <c r="B23" s="24">
        <v>39</v>
      </c>
      <c r="C23" s="24">
        <v>21</v>
      </c>
      <c r="D23" s="24">
        <v>18</v>
      </c>
      <c r="E23" s="8"/>
    </row>
    <row r="24" spans="1:5">
      <c r="A24" s="23">
        <v>2003</v>
      </c>
      <c r="B24" s="24">
        <v>39</v>
      </c>
      <c r="C24" s="24">
        <v>22</v>
      </c>
      <c r="D24" s="24">
        <v>17</v>
      </c>
      <c r="E24" s="8"/>
    </row>
    <row r="25" spans="1:5">
      <c r="A25" s="23">
        <v>2002</v>
      </c>
      <c r="B25" s="24">
        <v>40</v>
      </c>
      <c r="C25" s="24">
        <v>23</v>
      </c>
      <c r="D25" s="24">
        <v>17</v>
      </c>
      <c r="E25" s="8"/>
    </row>
    <row r="26" spans="1:5">
      <c r="A26" s="23">
        <v>2001</v>
      </c>
      <c r="B26" s="24">
        <v>40</v>
      </c>
      <c r="C26" s="24">
        <v>24</v>
      </c>
      <c r="D26" s="24">
        <v>16</v>
      </c>
      <c r="E26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7074-5CA0-464F-9DFC-088EB39DDEA8}">
  <dimension ref="A1:E125"/>
  <sheetViews>
    <sheetView topLeftCell="I1" workbookViewId="0">
      <selection activeCell="B2" sqref="B2:B11"/>
    </sheetView>
  </sheetViews>
  <sheetFormatPr defaultRowHeight="14.5"/>
  <cols>
    <col min="1" max="1" width="15.54296875" bestFit="1" customWidth="1"/>
    <col min="2" max="2" width="13.36328125" style="1" bestFit="1" customWidth="1"/>
    <col min="5" max="5" width="24.6328125" bestFit="1" customWidth="1"/>
  </cols>
  <sheetData>
    <row r="1" spans="1:5">
      <c r="A1" t="s">
        <v>162</v>
      </c>
      <c r="B1" s="1" t="s">
        <v>161</v>
      </c>
      <c r="C1" t="s">
        <v>286</v>
      </c>
      <c r="D1" t="s">
        <v>285</v>
      </c>
      <c r="E1" t="s">
        <v>284</v>
      </c>
    </row>
    <row r="2" spans="1:5">
      <c r="A2" t="s">
        <v>278</v>
      </c>
      <c r="B2" s="1">
        <v>675</v>
      </c>
      <c r="C2">
        <v>54.72728</v>
      </c>
      <c r="D2">
        <v>25.315519999999999</v>
      </c>
      <c r="E2" t="s">
        <v>287</v>
      </c>
    </row>
    <row r="3" spans="1:5">
      <c r="A3" t="s">
        <v>279</v>
      </c>
      <c r="B3" s="1">
        <v>272</v>
      </c>
      <c r="C3">
        <v>54.642209999999999</v>
      </c>
      <c r="D3">
        <v>25.277830000000002</v>
      </c>
      <c r="E3" t="s">
        <v>298</v>
      </c>
    </row>
    <row r="4" spans="1:5">
      <c r="A4" t="s">
        <v>279</v>
      </c>
      <c r="B4" s="1">
        <v>272</v>
      </c>
      <c r="C4">
        <v>54.651479999999999</v>
      </c>
      <c r="D4">
        <v>25.27186</v>
      </c>
      <c r="E4" t="s">
        <v>299</v>
      </c>
    </row>
    <row r="5" spans="1:5">
      <c r="A5" t="s">
        <v>279</v>
      </c>
      <c r="B5" s="1">
        <v>272</v>
      </c>
      <c r="C5">
        <v>54.647550000000003</v>
      </c>
      <c r="D5">
        <v>25.27318</v>
      </c>
      <c r="E5" t="s">
        <v>288</v>
      </c>
    </row>
    <row r="6" spans="1:5">
      <c r="A6">
        <v>10</v>
      </c>
      <c r="B6" s="1">
        <v>180</v>
      </c>
      <c r="C6">
        <v>54.735309999999998</v>
      </c>
      <c r="D6">
        <v>25.25976</v>
      </c>
      <c r="E6" t="s">
        <v>289</v>
      </c>
    </row>
    <row r="7" spans="1:5">
      <c r="A7">
        <v>10</v>
      </c>
      <c r="B7" s="1">
        <v>180</v>
      </c>
      <c r="C7">
        <v>54.733759999999997</v>
      </c>
      <c r="D7">
        <v>25.25421</v>
      </c>
      <c r="E7" t="s">
        <v>300</v>
      </c>
    </row>
    <row r="8" spans="1:5">
      <c r="A8">
        <v>10</v>
      </c>
      <c r="B8" s="1">
        <v>180</v>
      </c>
      <c r="C8">
        <v>54.731560000000002</v>
      </c>
      <c r="D8">
        <v>25.248930000000001</v>
      </c>
      <c r="E8" t="s">
        <v>301</v>
      </c>
    </row>
    <row r="9" spans="1:5">
      <c r="A9">
        <v>10</v>
      </c>
      <c r="B9" s="1">
        <v>180</v>
      </c>
      <c r="C9">
        <v>54.7316</v>
      </c>
      <c r="D9">
        <v>25.24446</v>
      </c>
      <c r="E9" t="s">
        <v>302</v>
      </c>
    </row>
    <row r="10" spans="1:5">
      <c r="A10">
        <v>10</v>
      </c>
      <c r="B10" s="1">
        <v>180</v>
      </c>
      <c r="C10">
        <v>54.73066</v>
      </c>
      <c r="D10">
        <v>25.246210000000001</v>
      </c>
      <c r="E10" t="s">
        <v>303</v>
      </c>
    </row>
    <row r="11" spans="1:5">
      <c r="A11" t="s">
        <v>280</v>
      </c>
      <c r="B11" s="1">
        <v>138</v>
      </c>
      <c r="C11">
        <v>54.699309999999997</v>
      </c>
      <c r="D11">
        <v>25.282489999999999</v>
      </c>
      <c r="E11" t="s">
        <v>290</v>
      </c>
    </row>
    <row r="12" spans="1:5">
      <c r="A12" t="s">
        <v>281</v>
      </c>
      <c r="B12" s="1">
        <v>137</v>
      </c>
      <c r="C12">
        <v>54.683309999999999</v>
      </c>
      <c r="D12">
        <v>25.312860000000001</v>
      </c>
      <c r="E12" t="s">
        <v>291</v>
      </c>
    </row>
    <row r="13" spans="1:5">
      <c r="A13">
        <v>46</v>
      </c>
      <c r="B13" s="1">
        <v>133</v>
      </c>
      <c r="C13">
        <v>54.727730000000001</v>
      </c>
      <c r="D13">
        <v>25.23387</v>
      </c>
      <c r="E13" t="s">
        <v>292</v>
      </c>
    </row>
    <row r="14" spans="1:5">
      <c r="A14">
        <v>46</v>
      </c>
      <c r="B14" s="1">
        <v>133</v>
      </c>
      <c r="C14">
        <v>54.71322</v>
      </c>
      <c r="D14">
        <v>25.23789</v>
      </c>
      <c r="E14" t="s">
        <v>304</v>
      </c>
    </row>
    <row r="15" spans="1:5">
      <c r="A15">
        <v>46</v>
      </c>
      <c r="B15" s="1">
        <v>133</v>
      </c>
      <c r="C15">
        <v>54.71575</v>
      </c>
      <c r="D15">
        <v>25.232109999999999</v>
      </c>
      <c r="E15" t="s">
        <v>305</v>
      </c>
    </row>
    <row r="16" spans="1:5">
      <c r="A16">
        <v>46</v>
      </c>
      <c r="B16" s="1">
        <v>133</v>
      </c>
      <c r="C16">
        <v>54.71893</v>
      </c>
      <c r="D16">
        <v>25.231999999999999</v>
      </c>
      <c r="E16" t="s">
        <v>306</v>
      </c>
    </row>
    <row r="17" spans="1:5">
      <c r="A17">
        <v>46</v>
      </c>
      <c r="B17" s="1">
        <v>133</v>
      </c>
      <c r="C17">
        <v>54.722810000000003</v>
      </c>
      <c r="D17">
        <v>25.233429999999998</v>
      </c>
      <c r="E17" t="s">
        <v>307</v>
      </c>
    </row>
    <row r="18" spans="1:5">
      <c r="A18">
        <v>46</v>
      </c>
      <c r="B18" s="1">
        <v>133</v>
      </c>
      <c r="C18">
        <v>54.725760000000001</v>
      </c>
      <c r="D18">
        <v>25.233440000000002</v>
      </c>
      <c r="E18" t="s">
        <v>308</v>
      </c>
    </row>
    <row r="19" spans="1:5">
      <c r="A19">
        <v>46</v>
      </c>
      <c r="B19" s="1">
        <v>133</v>
      </c>
      <c r="C19">
        <v>54.729179999999999</v>
      </c>
      <c r="D19">
        <v>25.235679999999999</v>
      </c>
      <c r="E19" t="s">
        <v>309</v>
      </c>
    </row>
    <row r="20" spans="1:5">
      <c r="A20">
        <v>46</v>
      </c>
      <c r="B20" s="1">
        <v>133</v>
      </c>
      <c r="C20">
        <v>54.731409999999997</v>
      </c>
      <c r="D20">
        <v>25.231639999999999</v>
      </c>
      <c r="E20" t="s">
        <v>310</v>
      </c>
    </row>
    <row r="21" spans="1:5">
      <c r="A21">
        <v>46</v>
      </c>
      <c r="B21" s="1">
        <v>133</v>
      </c>
      <c r="C21">
        <v>54.731400000000001</v>
      </c>
      <c r="D21">
        <v>25.226320000000001</v>
      </c>
      <c r="E21" t="s">
        <v>311</v>
      </c>
    </row>
    <row r="22" spans="1:5">
      <c r="A22">
        <v>53</v>
      </c>
      <c r="B22" s="1">
        <v>133</v>
      </c>
      <c r="C22">
        <v>54.714480000000002</v>
      </c>
      <c r="D22">
        <v>25.286639999999998</v>
      </c>
      <c r="E22" t="s">
        <v>293</v>
      </c>
    </row>
    <row r="23" spans="1:5">
      <c r="A23" t="s">
        <v>282</v>
      </c>
      <c r="B23" s="1">
        <v>130</v>
      </c>
      <c r="C23">
        <v>54.707529999999998</v>
      </c>
      <c r="D23">
        <v>25.187809999999999</v>
      </c>
      <c r="E23" t="s">
        <v>294</v>
      </c>
    </row>
    <row r="24" spans="1:5">
      <c r="A24" t="s">
        <v>283</v>
      </c>
      <c r="B24" s="1">
        <v>129</v>
      </c>
      <c r="C24">
        <v>54.678910000000002</v>
      </c>
      <c r="D24">
        <v>25.21331</v>
      </c>
      <c r="E24" t="s">
        <v>295</v>
      </c>
    </row>
    <row r="25" spans="1:5">
      <c r="A25">
        <v>24</v>
      </c>
      <c r="B25" s="1">
        <v>124</v>
      </c>
      <c r="C25">
        <v>54.709629999999997</v>
      </c>
      <c r="D25">
        <v>25.251570000000001</v>
      </c>
      <c r="E25" t="s">
        <v>296</v>
      </c>
    </row>
    <row r="26" spans="1:5">
      <c r="A26" t="s">
        <v>173</v>
      </c>
      <c r="B26" s="1">
        <v>119</v>
      </c>
    </row>
    <row r="27" spans="1:5">
      <c r="A27" t="s">
        <v>174</v>
      </c>
      <c r="B27" s="1">
        <v>119</v>
      </c>
    </row>
    <row r="28" spans="1:5">
      <c r="A28" t="s">
        <v>175</v>
      </c>
      <c r="B28" s="1">
        <v>115</v>
      </c>
    </row>
    <row r="29" spans="1:5">
      <c r="A29" t="s">
        <v>176</v>
      </c>
      <c r="B29" s="1">
        <v>109</v>
      </c>
    </row>
    <row r="30" spans="1:5">
      <c r="A30" t="s">
        <v>177</v>
      </c>
      <c r="B30" s="1">
        <v>107</v>
      </c>
    </row>
    <row r="31" spans="1:5">
      <c r="A31" t="s">
        <v>179</v>
      </c>
      <c r="B31" s="1">
        <v>104</v>
      </c>
    </row>
    <row r="32" spans="1:5">
      <c r="A32" t="s">
        <v>180</v>
      </c>
      <c r="B32" s="1">
        <v>104</v>
      </c>
    </row>
    <row r="33" spans="1:2">
      <c r="A33" t="s">
        <v>181</v>
      </c>
      <c r="B33" s="1">
        <v>100</v>
      </c>
    </row>
    <row r="34" spans="1:2">
      <c r="A34" t="s">
        <v>182</v>
      </c>
      <c r="B34" s="1">
        <v>100</v>
      </c>
    </row>
    <row r="35" spans="1:2">
      <c r="A35" t="s">
        <v>183</v>
      </c>
      <c r="B35" s="1">
        <v>94</v>
      </c>
    </row>
    <row r="36" spans="1:2">
      <c r="A36" t="s">
        <v>184</v>
      </c>
      <c r="B36" s="1">
        <v>93</v>
      </c>
    </row>
    <row r="37" spans="1:2">
      <c r="A37" t="s">
        <v>185</v>
      </c>
      <c r="B37" s="1">
        <v>92</v>
      </c>
    </row>
    <row r="38" spans="1:2">
      <c r="A38" t="s">
        <v>186</v>
      </c>
      <c r="B38" s="1">
        <v>92</v>
      </c>
    </row>
    <row r="39" spans="1:2">
      <c r="A39" t="s">
        <v>187</v>
      </c>
      <c r="B39" s="1">
        <v>91</v>
      </c>
    </row>
    <row r="40" spans="1:2">
      <c r="A40" t="s">
        <v>188</v>
      </c>
      <c r="B40" s="1">
        <v>90</v>
      </c>
    </row>
    <row r="41" spans="1:2">
      <c r="A41" t="s">
        <v>189</v>
      </c>
      <c r="B41" s="1">
        <v>90</v>
      </c>
    </row>
    <row r="42" spans="1:2">
      <c r="A42" t="s">
        <v>190</v>
      </c>
      <c r="B42" s="1">
        <v>90</v>
      </c>
    </row>
    <row r="43" spans="1:2">
      <c r="A43" t="s">
        <v>191</v>
      </c>
      <c r="B43" s="1">
        <v>89</v>
      </c>
    </row>
    <row r="44" spans="1:2">
      <c r="A44" t="s">
        <v>192</v>
      </c>
      <c r="B44" s="1">
        <v>88</v>
      </c>
    </row>
    <row r="45" spans="1:2">
      <c r="A45" t="s">
        <v>193</v>
      </c>
      <c r="B45" s="1">
        <v>88</v>
      </c>
    </row>
    <row r="46" spans="1:2">
      <c r="A46" t="s">
        <v>194</v>
      </c>
      <c r="B46" s="1">
        <v>88</v>
      </c>
    </row>
    <row r="47" spans="1:2">
      <c r="A47" t="s">
        <v>195</v>
      </c>
      <c r="B47" s="1">
        <v>87</v>
      </c>
    </row>
    <row r="48" spans="1:2">
      <c r="A48" t="s">
        <v>196</v>
      </c>
      <c r="B48" s="1">
        <v>87</v>
      </c>
    </row>
    <row r="49" spans="1:2">
      <c r="A49" t="s">
        <v>197</v>
      </c>
      <c r="B49" s="1">
        <v>86</v>
      </c>
    </row>
    <row r="50" spans="1:2">
      <c r="A50" t="s">
        <v>198</v>
      </c>
      <c r="B50" s="1">
        <v>86</v>
      </c>
    </row>
    <row r="51" spans="1:2">
      <c r="A51" t="s">
        <v>199</v>
      </c>
      <c r="B51" s="1">
        <v>86</v>
      </c>
    </row>
    <row r="52" spans="1:2">
      <c r="A52" t="s">
        <v>200</v>
      </c>
      <c r="B52" s="1">
        <v>86</v>
      </c>
    </row>
    <row r="53" spans="1:2">
      <c r="A53" t="s">
        <v>201</v>
      </c>
      <c r="B53" s="1">
        <v>85</v>
      </c>
    </row>
    <row r="54" spans="1:2">
      <c r="A54" t="s">
        <v>202</v>
      </c>
      <c r="B54" s="1">
        <v>83</v>
      </c>
    </row>
    <row r="55" spans="1:2">
      <c r="A55" t="s">
        <v>203</v>
      </c>
      <c r="B55" s="1">
        <v>83</v>
      </c>
    </row>
    <row r="56" spans="1:2">
      <c r="A56" t="s">
        <v>204</v>
      </c>
      <c r="B56" s="1">
        <v>82</v>
      </c>
    </row>
    <row r="57" spans="1:2">
      <c r="A57" t="s">
        <v>205</v>
      </c>
      <c r="B57" s="1">
        <v>82</v>
      </c>
    </row>
    <row r="58" spans="1:2">
      <c r="A58" t="s">
        <v>206</v>
      </c>
      <c r="B58" s="1">
        <v>81</v>
      </c>
    </row>
    <row r="59" spans="1:2">
      <c r="A59" t="s">
        <v>207</v>
      </c>
      <c r="B59" s="1">
        <v>80</v>
      </c>
    </row>
    <row r="60" spans="1:2">
      <c r="A60" t="s">
        <v>208</v>
      </c>
      <c r="B60" s="1">
        <v>80</v>
      </c>
    </row>
    <row r="61" spans="1:2">
      <c r="A61" t="s">
        <v>209</v>
      </c>
      <c r="B61" s="1">
        <v>79</v>
      </c>
    </row>
    <row r="62" spans="1:2">
      <c r="A62" t="s">
        <v>210</v>
      </c>
      <c r="B62" s="1">
        <v>79</v>
      </c>
    </row>
    <row r="63" spans="1:2">
      <c r="A63" t="s">
        <v>211</v>
      </c>
      <c r="B63" s="1">
        <v>78</v>
      </c>
    </row>
    <row r="64" spans="1:2">
      <c r="A64" t="s">
        <v>212</v>
      </c>
      <c r="B64" s="1">
        <v>78</v>
      </c>
    </row>
    <row r="65" spans="1:2">
      <c r="A65" t="s">
        <v>213</v>
      </c>
      <c r="B65" s="1">
        <v>77</v>
      </c>
    </row>
    <row r="66" spans="1:2">
      <c r="A66" t="s">
        <v>214</v>
      </c>
      <c r="B66" s="1">
        <v>76</v>
      </c>
    </row>
    <row r="67" spans="1:2">
      <c r="A67" t="s">
        <v>215</v>
      </c>
      <c r="B67" s="1">
        <v>76</v>
      </c>
    </row>
    <row r="68" spans="1:2">
      <c r="A68" t="s">
        <v>216</v>
      </c>
      <c r="B68" s="1">
        <v>76</v>
      </c>
    </row>
    <row r="69" spans="1:2">
      <c r="A69" t="s">
        <v>217</v>
      </c>
      <c r="B69" s="1">
        <v>76</v>
      </c>
    </row>
    <row r="70" spans="1:2">
      <c r="A70" t="s">
        <v>218</v>
      </c>
      <c r="B70" s="1">
        <v>74</v>
      </c>
    </row>
    <row r="71" spans="1:2">
      <c r="A71" t="s">
        <v>219</v>
      </c>
      <c r="B71" s="1">
        <v>73</v>
      </c>
    </row>
    <row r="72" spans="1:2">
      <c r="A72" t="s">
        <v>220</v>
      </c>
      <c r="B72" s="1">
        <v>73</v>
      </c>
    </row>
    <row r="73" spans="1:2">
      <c r="A73" t="s">
        <v>221</v>
      </c>
      <c r="B73" s="1">
        <v>73</v>
      </c>
    </row>
    <row r="74" spans="1:2">
      <c r="A74" t="s">
        <v>222</v>
      </c>
      <c r="B74" s="1">
        <v>72</v>
      </c>
    </row>
    <row r="75" spans="1:2">
      <c r="A75" t="s">
        <v>223</v>
      </c>
      <c r="B75" s="1">
        <v>72</v>
      </c>
    </row>
    <row r="76" spans="1:2">
      <c r="A76" t="s">
        <v>224</v>
      </c>
      <c r="B76" s="1">
        <v>72</v>
      </c>
    </row>
    <row r="77" spans="1:2">
      <c r="A77" t="s">
        <v>225</v>
      </c>
      <c r="B77" s="1">
        <v>72</v>
      </c>
    </row>
    <row r="78" spans="1:2">
      <c r="A78" t="s">
        <v>226</v>
      </c>
      <c r="B78" s="1">
        <v>71</v>
      </c>
    </row>
    <row r="79" spans="1:2">
      <c r="A79" t="s">
        <v>227</v>
      </c>
      <c r="B79" s="1">
        <v>70</v>
      </c>
    </row>
    <row r="80" spans="1:2">
      <c r="A80" t="s">
        <v>228</v>
      </c>
      <c r="B80" s="1">
        <v>68</v>
      </c>
    </row>
    <row r="81" spans="1:2">
      <c r="A81" t="s">
        <v>229</v>
      </c>
      <c r="B81" s="1">
        <v>66</v>
      </c>
    </row>
    <row r="82" spans="1:2">
      <c r="A82" t="s">
        <v>230</v>
      </c>
      <c r="B82" s="1">
        <v>65</v>
      </c>
    </row>
    <row r="83" spans="1:2">
      <c r="A83" t="s">
        <v>231</v>
      </c>
      <c r="B83" s="1">
        <v>63</v>
      </c>
    </row>
    <row r="84" spans="1:2">
      <c r="A84" t="s">
        <v>232</v>
      </c>
      <c r="B84" s="1">
        <v>62</v>
      </c>
    </row>
    <row r="85" spans="1:2">
      <c r="A85" t="s">
        <v>233</v>
      </c>
      <c r="B85" s="1">
        <v>61</v>
      </c>
    </row>
    <row r="86" spans="1:2">
      <c r="A86" t="s">
        <v>234</v>
      </c>
      <c r="B86" s="1">
        <v>59</v>
      </c>
    </row>
    <row r="87" spans="1:2">
      <c r="A87" t="s">
        <v>235</v>
      </c>
      <c r="B87" s="1">
        <v>58</v>
      </c>
    </row>
    <row r="88" spans="1:2">
      <c r="A88" t="s">
        <v>236</v>
      </c>
      <c r="B88" s="1">
        <v>57</v>
      </c>
    </row>
    <row r="89" spans="1:2">
      <c r="A89" t="s">
        <v>237</v>
      </c>
      <c r="B89" s="1">
        <v>56</v>
      </c>
    </row>
    <row r="90" spans="1:2">
      <c r="A90" t="s">
        <v>238</v>
      </c>
      <c r="B90" s="1">
        <v>55</v>
      </c>
    </row>
    <row r="91" spans="1:2">
      <c r="A91" t="s">
        <v>239</v>
      </c>
      <c r="B91" s="1">
        <v>53</v>
      </c>
    </row>
    <row r="92" spans="1:2">
      <c r="A92" t="s">
        <v>240</v>
      </c>
      <c r="B92" s="1">
        <v>53</v>
      </c>
    </row>
    <row r="93" spans="1:2">
      <c r="A93" t="s">
        <v>241</v>
      </c>
      <c r="B93" s="1">
        <v>52</v>
      </c>
    </row>
    <row r="94" spans="1:2">
      <c r="A94" t="s">
        <v>242</v>
      </c>
      <c r="B94" s="1">
        <v>49</v>
      </c>
    </row>
    <row r="95" spans="1:2">
      <c r="A95" t="s">
        <v>243</v>
      </c>
      <c r="B95" s="1">
        <v>49</v>
      </c>
    </row>
    <row r="96" spans="1:2">
      <c r="A96" t="s">
        <v>244</v>
      </c>
      <c r="B96" s="1">
        <v>49</v>
      </c>
    </row>
    <row r="97" spans="1:2">
      <c r="A97" t="s">
        <v>245</v>
      </c>
      <c r="B97" s="1">
        <v>48</v>
      </c>
    </row>
    <row r="98" spans="1:2">
      <c r="A98" t="s">
        <v>246</v>
      </c>
      <c r="B98" s="1">
        <v>48</v>
      </c>
    </row>
    <row r="99" spans="1:2">
      <c r="A99" t="s">
        <v>247</v>
      </c>
      <c r="B99" s="1">
        <v>47</v>
      </c>
    </row>
    <row r="100" spans="1:2">
      <c r="A100" t="s">
        <v>248</v>
      </c>
      <c r="B100" s="1">
        <v>47</v>
      </c>
    </row>
    <row r="101" spans="1:2">
      <c r="A101" t="s">
        <v>249</v>
      </c>
      <c r="B101" s="1">
        <v>46</v>
      </c>
    </row>
    <row r="102" spans="1:2">
      <c r="A102" t="s">
        <v>250</v>
      </c>
      <c r="B102" s="1">
        <v>44</v>
      </c>
    </row>
    <row r="103" spans="1:2">
      <c r="A103" t="s">
        <v>251</v>
      </c>
      <c r="B103" s="1">
        <v>44</v>
      </c>
    </row>
    <row r="104" spans="1:2">
      <c r="A104" t="s">
        <v>252</v>
      </c>
      <c r="B104" s="1">
        <v>43</v>
      </c>
    </row>
    <row r="105" spans="1:2">
      <c r="A105" t="s">
        <v>253</v>
      </c>
      <c r="B105" s="1">
        <v>42</v>
      </c>
    </row>
    <row r="106" spans="1:2">
      <c r="A106" t="s">
        <v>254</v>
      </c>
      <c r="B106" s="1">
        <v>41</v>
      </c>
    </row>
    <row r="107" spans="1:2">
      <c r="A107" t="s">
        <v>255</v>
      </c>
      <c r="B107" s="1">
        <v>39</v>
      </c>
    </row>
    <row r="108" spans="1:2">
      <c r="A108" t="s">
        <v>256</v>
      </c>
      <c r="B108" s="1">
        <v>39</v>
      </c>
    </row>
    <row r="109" spans="1:2">
      <c r="A109" t="s">
        <v>257</v>
      </c>
      <c r="B109" s="1">
        <v>37</v>
      </c>
    </row>
    <row r="110" spans="1:2">
      <c r="A110" t="s">
        <v>258</v>
      </c>
      <c r="B110" s="1">
        <v>37</v>
      </c>
    </row>
    <row r="111" spans="1:2">
      <c r="A111" t="s">
        <v>259</v>
      </c>
      <c r="B111" s="1">
        <v>35</v>
      </c>
    </row>
    <row r="112" spans="1:2">
      <c r="A112" t="s">
        <v>261</v>
      </c>
      <c r="B112" s="1">
        <v>35</v>
      </c>
    </row>
    <row r="113" spans="1:2">
      <c r="A113" t="s">
        <v>260</v>
      </c>
      <c r="B113" s="1">
        <v>34</v>
      </c>
    </row>
    <row r="114" spans="1:2">
      <c r="A114" t="s">
        <v>262</v>
      </c>
      <c r="B114" s="1">
        <v>33</v>
      </c>
    </row>
    <row r="115" spans="1:2">
      <c r="A115" t="s">
        <v>263</v>
      </c>
      <c r="B115" s="1">
        <v>33</v>
      </c>
    </row>
    <row r="116" spans="1:2">
      <c r="A116" t="s">
        <v>264</v>
      </c>
      <c r="B116" s="1">
        <v>33</v>
      </c>
    </row>
    <row r="117" spans="1:2">
      <c r="A117" t="s">
        <v>265</v>
      </c>
      <c r="B117" s="1">
        <v>33</v>
      </c>
    </row>
    <row r="118" spans="1:2">
      <c r="A118" t="s">
        <v>266</v>
      </c>
      <c r="B118" s="1">
        <v>32</v>
      </c>
    </row>
    <row r="119" spans="1:2">
      <c r="A119" t="s">
        <v>273</v>
      </c>
      <c r="B119" s="1">
        <v>32</v>
      </c>
    </row>
    <row r="120" spans="1:2">
      <c r="A120" t="s">
        <v>267</v>
      </c>
      <c r="B120" s="1">
        <v>31</v>
      </c>
    </row>
    <row r="121" spans="1:2">
      <c r="A121" t="s">
        <v>268</v>
      </c>
      <c r="B121" s="1">
        <v>31</v>
      </c>
    </row>
    <row r="122" spans="1:2">
      <c r="A122" t="s">
        <v>269</v>
      </c>
      <c r="B122" s="1">
        <v>30</v>
      </c>
    </row>
    <row r="123" spans="1:2">
      <c r="A123" t="s">
        <v>270</v>
      </c>
      <c r="B123" s="1">
        <v>28</v>
      </c>
    </row>
    <row r="124" spans="1:2">
      <c r="A124" t="s">
        <v>271</v>
      </c>
      <c r="B124" s="1">
        <v>26</v>
      </c>
    </row>
    <row r="125" spans="1:2">
      <c r="A125" t="s">
        <v>272</v>
      </c>
      <c r="B125" s="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336B-9DE3-41CD-9F78-D0FB3C0B6714}">
  <dimension ref="A1:C2617"/>
  <sheetViews>
    <sheetView topLeftCell="A2140" workbookViewId="0">
      <selection activeCell="C2146" sqref="A2146:C2147"/>
    </sheetView>
  </sheetViews>
  <sheetFormatPr defaultRowHeight="14.5"/>
  <cols>
    <col min="1" max="1" width="8.90625" customWidth="1"/>
    <col min="2" max="2" width="7.6328125" customWidth="1"/>
    <col min="3" max="3" width="13.36328125" bestFit="1" customWidth="1"/>
  </cols>
  <sheetData>
    <row r="1" spans="1:3">
      <c r="A1" t="s">
        <v>162</v>
      </c>
      <c r="B1" t="s">
        <v>178</v>
      </c>
      <c r="C1" t="s">
        <v>161</v>
      </c>
    </row>
    <row r="2" spans="1:3">
      <c r="A2" t="s">
        <v>247</v>
      </c>
      <c r="B2">
        <v>1</v>
      </c>
      <c r="C2">
        <v>0</v>
      </c>
    </row>
    <row r="3" spans="1:3">
      <c r="A3" t="s">
        <v>247</v>
      </c>
      <c r="B3">
        <v>2</v>
      </c>
      <c r="C3">
        <v>0</v>
      </c>
    </row>
    <row r="4" spans="1:3">
      <c r="A4" t="s">
        <v>247</v>
      </c>
      <c r="B4">
        <v>3</v>
      </c>
      <c r="C4">
        <v>2</v>
      </c>
    </row>
    <row r="5" spans="1:3">
      <c r="A5" t="s">
        <v>247</v>
      </c>
      <c r="B5">
        <v>4</v>
      </c>
      <c r="C5">
        <v>7</v>
      </c>
    </row>
    <row r="6" spans="1:3">
      <c r="A6" t="s">
        <v>247</v>
      </c>
      <c r="B6">
        <v>5</v>
      </c>
      <c r="C6">
        <v>14</v>
      </c>
    </row>
    <row r="7" spans="1:3">
      <c r="A7" t="s">
        <v>247</v>
      </c>
      <c r="B7">
        <v>6</v>
      </c>
      <c r="C7">
        <v>22</v>
      </c>
    </row>
    <row r="8" spans="1:3">
      <c r="A8" t="s">
        <v>247</v>
      </c>
      <c r="B8">
        <v>7</v>
      </c>
      <c r="C8">
        <v>29</v>
      </c>
    </row>
    <row r="9" spans="1:3">
      <c r="A9" t="s">
        <v>247</v>
      </c>
      <c r="B9">
        <v>8</v>
      </c>
      <c r="C9">
        <v>27</v>
      </c>
    </row>
    <row r="10" spans="1:3">
      <c r="A10" t="s">
        <v>247</v>
      </c>
      <c r="B10">
        <v>9</v>
      </c>
      <c r="C10">
        <v>36</v>
      </c>
    </row>
    <row r="11" spans="1:3">
      <c r="A11" t="s">
        <v>247</v>
      </c>
      <c r="B11">
        <v>10</v>
      </c>
      <c r="C11">
        <v>41</v>
      </c>
    </row>
    <row r="12" spans="1:3">
      <c r="A12" t="s">
        <v>247</v>
      </c>
      <c r="B12">
        <v>11</v>
      </c>
      <c r="C12">
        <v>39</v>
      </c>
    </row>
    <row r="13" spans="1:3">
      <c r="A13" t="s">
        <v>247</v>
      </c>
      <c r="B13">
        <v>12</v>
      </c>
      <c r="C13">
        <v>38</v>
      </c>
    </row>
    <row r="14" spans="1:3">
      <c r="A14" t="s">
        <v>247</v>
      </c>
      <c r="B14">
        <v>13</v>
      </c>
      <c r="C14">
        <v>41</v>
      </c>
    </row>
    <row r="15" spans="1:3">
      <c r="A15" t="s">
        <v>247</v>
      </c>
      <c r="B15">
        <v>14</v>
      </c>
      <c r="C15">
        <v>46</v>
      </c>
    </row>
    <row r="16" spans="1:3">
      <c r="A16" t="s">
        <v>247</v>
      </c>
      <c r="B16">
        <v>15</v>
      </c>
      <c r="C16">
        <v>43</v>
      </c>
    </row>
    <row r="17" spans="1:3">
      <c r="A17" t="s">
        <v>247</v>
      </c>
      <c r="B17">
        <v>16</v>
      </c>
      <c r="C17">
        <v>47</v>
      </c>
    </row>
    <row r="18" spans="1:3">
      <c r="A18" t="s">
        <v>247</v>
      </c>
      <c r="B18">
        <v>17</v>
      </c>
      <c r="C18">
        <v>32</v>
      </c>
    </row>
    <row r="19" spans="1:3">
      <c r="A19" t="s">
        <v>247</v>
      </c>
      <c r="B19">
        <v>18</v>
      </c>
      <c r="C19">
        <v>44</v>
      </c>
    </row>
    <row r="20" spans="1:3">
      <c r="A20" t="s">
        <v>247</v>
      </c>
      <c r="B20">
        <v>19</v>
      </c>
      <c r="C20">
        <v>35</v>
      </c>
    </row>
    <row r="21" spans="1:3">
      <c r="A21" t="s">
        <v>247</v>
      </c>
      <c r="B21">
        <v>20</v>
      </c>
      <c r="C21">
        <v>38</v>
      </c>
    </row>
    <row r="22" spans="1:3">
      <c r="A22" t="s">
        <v>247</v>
      </c>
      <c r="B22">
        <v>21</v>
      </c>
      <c r="C22">
        <v>42</v>
      </c>
    </row>
    <row r="23" spans="1:3">
      <c r="A23" t="s">
        <v>247</v>
      </c>
      <c r="B23">
        <v>22</v>
      </c>
      <c r="C23">
        <v>23</v>
      </c>
    </row>
    <row r="24" spans="1:3">
      <c r="A24" t="s">
        <v>247</v>
      </c>
      <c r="B24">
        <v>23</v>
      </c>
      <c r="C24">
        <v>18</v>
      </c>
    </row>
    <row r="25" spans="1:3">
      <c r="A25" t="s">
        <v>247</v>
      </c>
      <c r="B25">
        <v>24</v>
      </c>
      <c r="C25">
        <v>4</v>
      </c>
    </row>
    <row r="26" spans="1:3">
      <c r="A26" t="s">
        <v>165</v>
      </c>
      <c r="B26">
        <v>1</v>
      </c>
      <c r="C26">
        <v>2</v>
      </c>
    </row>
    <row r="27" spans="1:3">
      <c r="A27" t="s">
        <v>165</v>
      </c>
      <c r="B27">
        <v>2</v>
      </c>
      <c r="C27">
        <v>0</v>
      </c>
    </row>
    <row r="28" spans="1:3">
      <c r="A28" t="s">
        <v>165</v>
      </c>
      <c r="B28">
        <v>3</v>
      </c>
      <c r="C28">
        <v>0</v>
      </c>
    </row>
    <row r="29" spans="1:3">
      <c r="A29" t="s">
        <v>165</v>
      </c>
      <c r="B29">
        <v>4</v>
      </c>
      <c r="C29">
        <v>9</v>
      </c>
    </row>
    <row r="30" spans="1:3">
      <c r="A30" t="s">
        <v>165</v>
      </c>
      <c r="B30">
        <v>5</v>
      </c>
      <c r="C30">
        <v>32</v>
      </c>
    </row>
    <row r="31" spans="1:3">
      <c r="A31" t="s">
        <v>165</v>
      </c>
      <c r="B31">
        <v>6</v>
      </c>
      <c r="C31">
        <v>45</v>
      </c>
    </row>
    <row r="32" spans="1:3">
      <c r="A32" t="s">
        <v>165</v>
      </c>
      <c r="B32">
        <v>7</v>
      </c>
      <c r="C32">
        <v>74</v>
      </c>
    </row>
    <row r="33" spans="1:3">
      <c r="A33" t="s">
        <v>165</v>
      </c>
      <c r="B33">
        <v>8</v>
      </c>
      <c r="C33">
        <v>86</v>
      </c>
    </row>
    <row r="34" spans="1:3">
      <c r="A34" t="s">
        <v>165</v>
      </c>
      <c r="B34">
        <v>9</v>
      </c>
      <c r="C34">
        <v>86</v>
      </c>
    </row>
    <row r="35" spans="1:3">
      <c r="A35" t="s">
        <v>165</v>
      </c>
      <c r="B35">
        <v>10</v>
      </c>
      <c r="C35">
        <v>98</v>
      </c>
    </row>
    <row r="36" spans="1:3">
      <c r="A36" t="s">
        <v>165</v>
      </c>
      <c r="B36">
        <v>11</v>
      </c>
      <c r="C36">
        <v>73</v>
      </c>
    </row>
    <row r="37" spans="1:3">
      <c r="A37" t="s">
        <v>165</v>
      </c>
      <c r="B37">
        <v>12</v>
      </c>
      <c r="C37">
        <v>68</v>
      </c>
    </row>
    <row r="38" spans="1:3">
      <c r="A38" t="s">
        <v>165</v>
      </c>
      <c r="B38">
        <v>13</v>
      </c>
      <c r="C38">
        <v>80</v>
      </c>
    </row>
    <row r="39" spans="1:3">
      <c r="A39" t="s">
        <v>165</v>
      </c>
      <c r="B39">
        <v>14</v>
      </c>
      <c r="C39">
        <v>79</v>
      </c>
    </row>
    <row r="40" spans="1:3">
      <c r="A40" t="s">
        <v>165</v>
      </c>
      <c r="B40">
        <v>15</v>
      </c>
      <c r="C40">
        <v>75</v>
      </c>
    </row>
    <row r="41" spans="1:3">
      <c r="A41" t="s">
        <v>165</v>
      </c>
      <c r="B41">
        <v>16</v>
      </c>
      <c r="C41">
        <v>77</v>
      </c>
    </row>
    <row r="42" spans="1:3">
      <c r="A42" t="s">
        <v>165</v>
      </c>
      <c r="B42">
        <v>17</v>
      </c>
      <c r="C42">
        <v>76</v>
      </c>
    </row>
    <row r="43" spans="1:3">
      <c r="A43" t="s">
        <v>165</v>
      </c>
      <c r="B43">
        <v>18</v>
      </c>
      <c r="C43">
        <v>83</v>
      </c>
    </row>
    <row r="44" spans="1:3">
      <c r="A44" t="s">
        <v>165</v>
      </c>
      <c r="B44">
        <v>19</v>
      </c>
      <c r="C44">
        <v>72</v>
      </c>
    </row>
    <row r="45" spans="1:3">
      <c r="A45" t="s">
        <v>165</v>
      </c>
      <c r="B45">
        <v>20</v>
      </c>
      <c r="C45">
        <v>180</v>
      </c>
    </row>
    <row r="46" spans="1:3">
      <c r="A46" t="s">
        <v>165</v>
      </c>
      <c r="B46">
        <v>21</v>
      </c>
      <c r="C46">
        <v>76</v>
      </c>
    </row>
    <row r="47" spans="1:3">
      <c r="A47" t="s">
        <v>165</v>
      </c>
      <c r="B47">
        <v>22</v>
      </c>
      <c r="C47">
        <v>72</v>
      </c>
    </row>
    <row r="48" spans="1:3">
      <c r="A48" t="s">
        <v>165</v>
      </c>
      <c r="B48">
        <v>23</v>
      </c>
      <c r="C48">
        <v>90</v>
      </c>
    </row>
    <row r="49" spans="1:3">
      <c r="A49" t="s">
        <v>165</v>
      </c>
      <c r="B49">
        <v>24</v>
      </c>
      <c r="C49">
        <v>50</v>
      </c>
    </row>
    <row r="50" spans="1:3">
      <c r="A50" t="s">
        <v>270</v>
      </c>
      <c r="B50">
        <v>1</v>
      </c>
      <c r="C50">
        <v>0</v>
      </c>
    </row>
    <row r="51" spans="1:3">
      <c r="A51" t="s">
        <v>270</v>
      </c>
      <c r="B51">
        <v>2</v>
      </c>
      <c r="C51">
        <v>0</v>
      </c>
    </row>
    <row r="52" spans="1:3">
      <c r="A52" t="s">
        <v>270</v>
      </c>
      <c r="B52">
        <v>3</v>
      </c>
      <c r="C52">
        <v>0</v>
      </c>
    </row>
    <row r="53" spans="1:3">
      <c r="A53" t="s">
        <v>270</v>
      </c>
      <c r="B53">
        <v>4</v>
      </c>
      <c r="C53">
        <v>3</v>
      </c>
    </row>
    <row r="54" spans="1:3">
      <c r="A54" t="s">
        <v>270</v>
      </c>
      <c r="B54">
        <v>5</v>
      </c>
      <c r="C54">
        <v>12</v>
      </c>
    </row>
    <row r="55" spans="1:3">
      <c r="A55" t="s">
        <v>270</v>
      </c>
      <c r="B55">
        <v>6</v>
      </c>
      <c r="C55">
        <v>14</v>
      </c>
    </row>
    <row r="56" spans="1:3">
      <c r="A56" t="s">
        <v>270</v>
      </c>
      <c r="B56">
        <v>7</v>
      </c>
      <c r="C56">
        <v>20</v>
      </c>
    </row>
    <row r="57" spans="1:3">
      <c r="A57" t="s">
        <v>270</v>
      </c>
      <c r="B57">
        <v>8</v>
      </c>
      <c r="C57">
        <v>22</v>
      </c>
    </row>
    <row r="58" spans="1:3">
      <c r="A58" t="s">
        <v>270</v>
      </c>
      <c r="B58">
        <v>9</v>
      </c>
      <c r="C58">
        <v>20</v>
      </c>
    </row>
    <row r="59" spans="1:3">
      <c r="A59" t="s">
        <v>270</v>
      </c>
      <c r="B59">
        <v>10</v>
      </c>
      <c r="C59">
        <v>18</v>
      </c>
    </row>
    <row r="60" spans="1:3">
      <c r="A60" t="s">
        <v>270</v>
      </c>
      <c r="B60">
        <v>11</v>
      </c>
      <c r="C60">
        <v>17</v>
      </c>
    </row>
    <row r="61" spans="1:3">
      <c r="A61" t="s">
        <v>270</v>
      </c>
      <c r="B61">
        <v>12</v>
      </c>
      <c r="C61">
        <v>20</v>
      </c>
    </row>
    <row r="62" spans="1:3">
      <c r="A62" t="s">
        <v>270</v>
      </c>
      <c r="B62">
        <v>13</v>
      </c>
      <c r="C62">
        <v>17</v>
      </c>
    </row>
    <row r="63" spans="1:3">
      <c r="A63" t="s">
        <v>270</v>
      </c>
      <c r="B63">
        <v>14</v>
      </c>
      <c r="C63">
        <v>24</v>
      </c>
    </row>
    <row r="64" spans="1:3">
      <c r="A64" t="s">
        <v>270</v>
      </c>
      <c r="B64">
        <v>15</v>
      </c>
      <c r="C64">
        <v>23</v>
      </c>
    </row>
    <row r="65" spans="1:3">
      <c r="A65" t="s">
        <v>270</v>
      </c>
      <c r="B65">
        <v>16</v>
      </c>
      <c r="C65">
        <v>24</v>
      </c>
    </row>
    <row r="66" spans="1:3">
      <c r="A66" t="s">
        <v>270</v>
      </c>
      <c r="B66">
        <v>17</v>
      </c>
      <c r="C66">
        <v>28</v>
      </c>
    </row>
    <row r="67" spans="1:3">
      <c r="A67" t="s">
        <v>270</v>
      </c>
      <c r="B67">
        <v>18</v>
      </c>
      <c r="C67">
        <v>21</v>
      </c>
    </row>
    <row r="68" spans="1:3">
      <c r="A68" t="s">
        <v>270</v>
      </c>
      <c r="B68">
        <v>19</v>
      </c>
      <c r="C68">
        <v>16</v>
      </c>
    </row>
    <row r="69" spans="1:3">
      <c r="A69" t="s">
        <v>270</v>
      </c>
      <c r="B69">
        <v>20</v>
      </c>
      <c r="C69">
        <v>20</v>
      </c>
    </row>
    <row r="70" spans="1:3">
      <c r="A70" t="s">
        <v>270</v>
      </c>
      <c r="B70">
        <v>21</v>
      </c>
      <c r="C70">
        <v>19</v>
      </c>
    </row>
    <row r="71" spans="1:3">
      <c r="A71" t="s">
        <v>270</v>
      </c>
      <c r="B71">
        <v>22</v>
      </c>
      <c r="C71">
        <v>13</v>
      </c>
    </row>
    <row r="72" spans="1:3">
      <c r="A72" t="s">
        <v>270</v>
      </c>
      <c r="B72">
        <v>23</v>
      </c>
      <c r="C72">
        <v>13</v>
      </c>
    </row>
    <row r="73" spans="1:3">
      <c r="A73" t="s">
        <v>270</v>
      </c>
      <c r="B73">
        <v>24</v>
      </c>
      <c r="C73">
        <v>7</v>
      </c>
    </row>
    <row r="74" spans="1:3">
      <c r="A74" t="s">
        <v>237</v>
      </c>
      <c r="B74">
        <v>1</v>
      </c>
      <c r="C74">
        <v>0</v>
      </c>
    </row>
    <row r="75" spans="1:3">
      <c r="A75" t="s">
        <v>237</v>
      </c>
      <c r="B75">
        <v>2</v>
      </c>
      <c r="C75">
        <v>0</v>
      </c>
    </row>
    <row r="76" spans="1:3">
      <c r="A76" t="s">
        <v>237</v>
      </c>
      <c r="B76">
        <v>3</v>
      </c>
      <c r="C76">
        <v>0</v>
      </c>
    </row>
    <row r="77" spans="1:3">
      <c r="A77" t="s">
        <v>237</v>
      </c>
      <c r="B77">
        <v>4</v>
      </c>
      <c r="C77">
        <v>3</v>
      </c>
    </row>
    <row r="78" spans="1:3">
      <c r="A78" t="s">
        <v>237</v>
      </c>
      <c r="B78">
        <v>5</v>
      </c>
      <c r="C78">
        <v>20</v>
      </c>
    </row>
    <row r="79" spans="1:3">
      <c r="A79" t="s">
        <v>237</v>
      </c>
      <c r="B79">
        <v>6</v>
      </c>
      <c r="C79">
        <v>41</v>
      </c>
    </row>
    <row r="80" spans="1:3">
      <c r="A80" t="s">
        <v>237</v>
      </c>
      <c r="B80">
        <v>7</v>
      </c>
      <c r="C80">
        <v>56</v>
      </c>
    </row>
    <row r="81" spans="1:3">
      <c r="A81" t="s">
        <v>237</v>
      </c>
      <c r="B81">
        <v>8</v>
      </c>
      <c r="C81">
        <v>31</v>
      </c>
    </row>
    <row r="82" spans="1:3">
      <c r="A82" t="s">
        <v>237</v>
      </c>
      <c r="B82">
        <v>9</v>
      </c>
      <c r="C82">
        <v>29</v>
      </c>
    </row>
    <row r="83" spans="1:3">
      <c r="A83" t="s">
        <v>237</v>
      </c>
      <c r="B83">
        <v>10</v>
      </c>
      <c r="C83">
        <v>33</v>
      </c>
    </row>
    <row r="84" spans="1:3">
      <c r="A84" t="s">
        <v>237</v>
      </c>
      <c r="B84">
        <v>11</v>
      </c>
      <c r="C84">
        <v>31</v>
      </c>
    </row>
    <row r="85" spans="1:3">
      <c r="A85" t="s">
        <v>237</v>
      </c>
      <c r="B85">
        <v>12</v>
      </c>
      <c r="C85">
        <v>34</v>
      </c>
    </row>
    <row r="86" spans="1:3">
      <c r="A86" t="s">
        <v>237</v>
      </c>
      <c r="B86">
        <v>13</v>
      </c>
      <c r="C86">
        <v>34</v>
      </c>
    </row>
    <row r="87" spans="1:3">
      <c r="A87" t="s">
        <v>237</v>
      </c>
      <c r="B87">
        <v>14</v>
      </c>
      <c r="C87">
        <v>42</v>
      </c>
    </row>
    <row r="88" spans="1:3">
      <c r="A88" t="s">
        <v>237</v>
      </c>
      <c r="B88">
        <v>15</v>
      </c>
      <c r="C88">
        <v>42</v>
      </c>
    </row>
    <row r="89" spans="1:3">
      <c r="A89" t="s">
        <v>237</v>
      </c>
      <c r="B89">
        <v>16</v>
      </c>
      <c r="C89">
        <v>34</v>
      </c>
    </row>
    <row r="90" spans="1:3">
      <c r="A90" t="s">
        <v>237</v>
      </c>
      <c r="B90">
        <v>17</v>
      </c>
      <c r="C90">
        <v>34</v>
      </c>
    </row>
    <row r="91" spans="1:3">
      <c r="A91" t="s">
        <v>237</v>
      </c>
      <c r="B91">
        <v>18</v>
      </c>
      <c r="C91">
        <v>33</v>
      </c>
    </row>
    <row r="92" spans="1:3">
      <c r="A92" t="s">
        <v>237</v>
      </c>
      <c r="B92">
        <v>19</v>
      </c>
      <c r="C92">
        <v>27</v>
      </c>
    </row>
    <row r="93" spans="1:3">
      <c r="A93" t="s">
        <v>237</v>
      </c>
      <c r="B93">
        <v>20</v>
      </c>
      <c r="C93">
        <v>19</v>
      </c>
    </row>
    <row r="94" spans="1:3">
      <c r="A94" t="s">
        <v>237</v>
      </c>
      <c r="B94">
        <v>21</v>
      </c>
      <c r="C94">
        <v>17</v>
      </c>
    </row>
    <row r="95" spans="1:3">
      <c r="A95" t="s">
        <v>237</v>
      </c>
      <c r="B95">
        <v>22</v>
      </c>
      <c r="C95">
        <v>11</v>
      </c>
    </row>
    <row r="96" spans="1:3">
      <c r="A96" t="s">
        <v>237</v>
      </c>
      <c r="B96">
        <v>23</v>
      </c>
      <c r="C96">
        <v>6</v>
      </c>
    </row>
    <row r="97" spans="1:3">
      <c r="A97" t="s">
        <v>237</v>
      </c>
      <c r="B97">
        <v>24</v>
      </c>
      <c r="C97">
        <v>2</v>
      </c>
    </row>
    <row r="98" spans="1:3">
      <c r="A98" t="s">
        <v>231</v>
      </c>
      <c r="B98">
        <v>1</v>
      </c>
      <c r="C98">
        <v>0</v>
      </c>
    </row>
    <row r="99" spans="1:3">
      <c r="A99" t="s">
        <v>231</v>
      </c>
      <c r="B99">
        <v>2</v>
      </c>
      <c r="C99">
        <v>0</v>
      </c>
    </row>
    <row r="100" spans="1:3">
      <c r="A100" t="s">
        <v>231</v>
      </c>
      <c r="B100">
        <v>3</v>
      </c>
      <c r="C100">
        <v>0</v>
      </c>
    </row>
    <row r="101" spans="1:3">
      <c r="A101" t="s">
        <v>231</v>
      </c>
      <c r="B101">
        <v>4</v>
      </c>
      <c r="C101">
        <v>6</v>
      </c>
    </row>
    <row r="102" spans="1:3">
      <c r="A102" t="s">
        <v>231</v>
      </c>
      <c r="B102">
        <v>5</v>
      </c>
      <c r="C102">
        <v>27</v>
      </c>
    </row>
    <row r="103" spans="1:3">
      <c r="A103" t="s">
        <v>231</v>
      </c>
      <c r="B103">
        <v>6</v>
      </c>
      <c r="C103">
        <v>33</v>
      </c>
    </row>
    <row r="104" spans="1:3">
      <c r="A104" t="s">
        <v>231</v>
      </c>
      <c r="B104">
        <v>7</v>
      </c>
      <c r="C104">
        <v>63</v>
      </c>
    </row>
    <row r="105" spans="1:3">
      <c r="A105" t="s">
        <v>231</v>
      </c>
      <c r="B105">
        <v>8</v>
      </c>
      <c r="C105">
        <v>32</v>
      </c>
    </row>
    <row r="106" spans="1:3">
      <c r="A106" t="s">
        <v>231</v>
      </c>
      <c r="B106">
        <v>9</v>
      </c>
      <c r="C106">
        <v>35</v>
      </c>
    </row>
    <row r="107" spans="1:3">
      <c r="A107" t="s">
        <v>231</v>
      </c>
      <c r="B107">
        <v>10</v>
      </c>
      <c r="C107">
        <v>38</v>
      </c>
    </row>
    <row r="108" spans="1:3">
      <c r="A108" t="s">
        <v>231</v>
      </c>
      <c r="B108">
        <v>11</v>
      </c>
      <c r="C108">
        <v>29</v>
      </c>
    </row>
    <row r="109" spans="1:3">
      <c r="A109" t="s">
        <v>231</v>
      </c>
      <c r="B109">
        <v>12</v>
      </c>
      <c r="C109">
        <v>32</v>
      </c>
    </row>
    <row r="110" spans="1:3">
      <c r="A110" t="s">
        <v>231</v>
      </c>
      <c r="B110">
        <v>13</v>
      </c>
      <c r="C110">
        <v>33</v>
      </c>
    </row>
    <row r="111" spans="1:3">
      <c r="A111" t="s">
        <v>231</v>
      </c>
      <c r="B111">
        <v>14</v>
      </c>
      <c r="C111">
        <v>58</v>
      </c>
    </row>
    <row r="112" spans="1:3">
      <c r="A112" t="s">
        <v>231</v>
      </c>
      <c r="B112">
        <v>15</v>
      </c>
      <c r="C112">
        <v>60</v>
      </c>
    </row>
    <row r="113" spans="1:3">
      <c r="A113" t="s">
        <v>231</v>
      </c>
      <c r="B113">
        <v>16</v>
      </c>
      <c r="C113">
        <v>44</v>
      </c>
    </row>
    <row r="114" spans="1:3">
      <c r="A114" t="s">
        <v>231</v>
      </c>
      <c r="B114">
        <v>17</v>
      </c>
      <c r="C114">
        <v>40</v>
      </c>
    </row>
    <row r="115" spans="1:3">
      <c r="A115" t="s">
        <v>231</v>
      </c>
      <c r="B115">
        <v>18</v>
      </c>
      <c r="C115">
        <v>46</v>
      </c>
    </row>
    <row r="116" spans="1:3">
      <c r="A116" t="s">
        <v>231</v>
      </c>
      <c r="B116">
        <v>19</v>
      </c>
      <c r="C116">
        <v>31</v>
      </c>
    </row>
    <row r="117" spans="1:3">
      <c r="A117" t="s">
        <v>231</v>
      </c>
      <c r="B117">
        <v>20</v>
      </c>
      <c r="C117">
        <v>34</v>
      </c>
    </row>
    <row r="118" spans="1:3">
      <c r="A118" t="s">
        <v>231</v>
      </c>
      <c r="B118">
        <v>21</v>
      </c>
      <c r="C118">
        <v>18</v>
      </c>
    </row>
    <row r="119" spans="1:3">
      <c r="A119" t="s">
        <v>231</v>
      </c>
      <c r="B119">
        <v>22</v>
      </c>
      <c r="C119">
        <v>19</v>
      </c>
    </row>
    <row r="120" spans="1:3">
      <c r="A120" t="s">
        <v>231</v>
      </c>
      <c r="B120">
        <v>23</v>
      </c>
      <c r="C120">
        <v>9</v>
      </c>
    </row>
    <row r="121" spans="1:3">
      <c r="A121" t="s">
        <v>231</v>
      </c>
      <c r="B121">
        <v>24</v>
      </c>
      <c r="C121">
        <v>5</v>
      </c>
    </row>
    <row r="122" spans="1:3">
      <c r="A122" t="s">
        <v>259</v>
      </c>
      <c r="B122">
        <v>1</v>
      </c>
      <c r="C122">
        <v>0</v>
      </c>
    </row>
    <row r="123" spans="1:3">
      <c r="A123" t="s">
        <v>259</v>
      </c>
      <c r="B123">
        <v>2</v>
      </c>
      <c r="C123">
        <v>0</v>
      </c>
    </row>
    <row r="124" spans="1:3">
      <c r="A124" t="s">
        <v>259</v>
      </c>
      <c r="B124">
        <v>3</v>
      </c>
      <c r="C124">
        <v>0</v>
      </c>
    </row>
    <row r="125" spans="1:3">
      <c r="A125" t="s">
        <v>259</v>
      </c>
      <c r="B125">
        <v>4</v>
      </c>
      <c r="C125">
        <v>9</v>
      </c>
    </row>
    <row r="126" spans="1:3">
      <c r="A126" t="s">
        <v>259</v>
      </c>
      <c r="B126">
        <v>5</v>
      </c>
      <c r="C126">
        <v>9</v>
      </c>
    </row>
    <row r="127" spans="1:3">
      <c r="A127" t="s">
        <v>259</v>
      </c>
      <c r="B127">
        <v>6</v>
      </c>
      <c r="C127">
        <v>18</v>
      </c>
    </row>
    <row r="128" spans="1:3">
      <c r="A128" t="s">
        <v>259</v>
      </c>
      <c r="B128">
        <v>7</v>
      </c>
      <c r="C128">
        <v>34</v>
      </c>
    </row>
    <row r="129" spans="1:3">
      <c r="A129" t="s">
        <v>259</v>
      </c>
      <c r="B129">
        <v>8</v>
      </c>
      <c r="C129">
        <v>28</v>
      </c>
    </row>
    <row r="130" spans="1:3">
      <c r="A130" t="s">
        <v>259</v>
      </c>
      <c r="B130">
        <v>9</v>
      </c>
      <c r="C130">
        <v>20</v>
      </c>
    </row>
    <row r="131" spans="1:3">
      <c r="A131" t="s">
        <v>259</v>
      </c>
      <c r="B131">
        <v>10</v>
      </c>
      <c r="C131">
        <v>16</v>
      </c>
    </row>
    <row r="132" spans="1:3">
      <c r="A132" t="s">
        <v>259</v>
      </c>
      <c r="B132">
        <v>11</v>
      </c>
      <c r="C132">
        <v>19</v>
      </c>
    </row>
    <row r="133" spans="1:3">
      <c r="A133" t="s">
        <v>259</v>
      </c>
      <c r="B133">
        <v>12</v>
      </c>
      <c r="C133">
        <v>16</v>
      </c>
    </row>
    <row r="134" spans="1:3">
      <c r="A134" t="s">
        <v>259</v>
      </c>
      <c r="B134">
        <v>13</v>
      </c>
      <c r="C134">
        <v>21</v>
      </c>
    </row>
    <row r="135" spans="1:3">
      <c r="A135" t="s">
        <v>259</v>
      </c>
      <c r="B135">
        <v>14</v>
      </c>
      <c r="C135">
        <v>25</v>
      </c>
    </row>
    <row r="136" spans="1:3">
      <c r="A136" t="s">
        <v>259</v>
      </c>
      <c r="B136">
        <v>15</v>
      </c>
      <c r="C136">
        <v>27</v>
      </c>
    </row>
    <row r="137" spans="1:3">
      <c r="A137" t="s">
        <v>259</v>
      </c>
      <c r="B137">
        <v>16</v>
      </c>
      <c r="C137">
        <v>31</v>
      </c>
    </row>
    <row r="138" spans="1:3">
      <c r="A138" t="s">
        <v>259</v>
      </c>
      <c r="B138">
        <v>17</v>
      </c>
      <c r="C138">
        <v>35</v>
      </c>
    </row>
    <row r="139" spans="1:3">
      <c r="A139" t="s">
        <v>259</v>
      </c>
      <c r="B139">
        <v>18</v>
      </c>
      <c r="C139">
        <v>20</v>
      </c>
    </row>
    <row r="140" spans="1:3">
      <c r="A140" t="s">
        <v>259</v>
      </c>
      <c r="B140">
        <v>19</v>
      </c>
      <c r="C140">
        <v>20</v>
      </c>
    </row>
    <row r="141" spans="1:3">
      <c r="A141" t="s">
        <v>259</v>
      </c>
      <c r="B141">
        <v>20</v>
      </c>
      <c r="C141">
        <v>20</v>
      </c>
    </row>
    <row r="142" spans="1:3">
      <c r="A142" t="s">
        <v>259</v>
      </c>
      <c r="B142">
        <v>21</v>
      </c>
      <c r="C142">
        <v>16</v>
      </c>
    </row>
    <row r="143" spans="1:3">
      <c r="A143" t="s">
        <v>259</v>
      </c>
      <c r="B143">
        <v>22</v>
      </c>
      <c r="C143">
        <v>10</v>
      </c>
    </row>
    <row r="144" spans="1:3">
      <c r="A144" t="s">
        <v>259</v>
      </c>
      <c r="B144">
        <v>23</v>
      </c>
      <c r="C144">
        <v>4</v>
      </c>
    </row>
    <row r="145" spans="1:3">
      <c r="A145" t="s">
        <v>259</v>
      </c>
      <c r="B145">
        <v>24</v>
      </c>
      <c r="C145">
        <v>5</v>
      </c>
    </row>
    <row r="146" spans="1:3">
      <c r="A146" t="s">
        <v>266</v>
      </c>
      <c r="B146">
        <v>1</v>
      </c>
      <c r="C146">
        <v>0</v>
      </c>
    </row>
    <row r="147" spans="1:3">
      <c r="A147" t="s">
        <v>266</v>
      </c>
      <c r="B147">
        <v>2</v>
      </c>
      <c r="C147">
        <v>0</v>
      </c>
    </row>
    <row r="148" spans="1:3">
      <c r="A148" t="s">
        <v>266</v>
      </c>
      <c r="B148">
        <v>3</v>
      </c>
      <c r="C148">
        <v>0</v>
      </c>
    </row>
    <row r="149" spans="1:3">
      <c r="A149" t="s">
        <v>266</v>
      </c>
      <c r="B149">
        <v>4</v>
      </c>
      <c r="C149">
        <v>8</v>
      </c>
    </row>
    <row r="150" spans="1:3">
      <c r="A150" t="s">
        <v>266</v>
      </c>
      <c r="B150">
        <v>5</v>
      </c>
      <c r="C150">
        <v>11</v>
      </c>
    </row>
    <row r="151" spans="1:3">
      <c r="A151" t="s">
        <v>266</v>
      </c>
      <c r="B151">
        <v>6</v>
      </c>
      <c r="C151">
        <v>11</v>
      </c>
    </row>
    <row r="152" spans="1:3">
      <c r="A152" t="s">
        <v>266</v>
      </c>
      <c r="B152">
        <v>7</v>
      </c>
      <c r="C152">
        <v>27</v>
      </c>
    </row>
    <row r="153" spans="1:3">
      <c r="A153" t="s">
        <v>266</v>
      </c>
      <c r="B153">
        <v>8</v>
      </c>
      <c r="C153">
        <v>27</v>
      </c>
    </row>
    <row r="154" spans="1:3">
      <c r="A154" t="s">
        <v>266</v>
      </c>
      <c r="B154">
        <v>9</v>
      </c>
      <c r="C154">
        <v>19</v>
      </c>
    </row>
    <row r="155" spans="1:3">
      <c r="A155" t="s">
        <v>266</v>
      </c>
      <c r="B155">
        <v>10</v>
      </c>
      <c r="C155">
        <v>18</v>
      </c>
    </row>
    <row r="156" spans="1:3">
      <c r="A156" t="s">
        <v>266</v>
      </c>
      <c r="B156">
        <v>11</v>
      </c>
      <c r="C156">
        <v>27</v>
      </c>
    </row>
    <row r="157" spans="1:3">
      <c r="A157" t="s">
        <v>266</v>
      </c>
      <c r="B157">
        <v>12</v>
      </c>
      <c r="C157">
        <v>28</v>
      </c>
    </row>
    <row r="158" spans="1:3">
      <c r="A158" t="s">
        <v>266</v>
      </c>
      <c r="B158">
        <v>13</v>
      </c>
      <c r="C158">
        <v>26</v>
      </c>
    </row>
    <row r="159" spans="1:3">
      <c r="A159" t="s">
        <v>266</v>
      </c>
      <c r="B159">
        <v>14</v>
      </c>
      <c r="C159">
        <v>30</v>
      </c>
    </row>
    <row r="160" spans="1:3">
      <c r="A160" t="s">
        <v>266</v>
      </c>
      <c r="B160">
        <v>15</v>
      </c>
      <c r="C160">
        <v>32</v>
      </c>
    </row>
    <row r="161" spans="1:3">
      <c r="A161" t="s">
        <v>266</v>
      </c>
      <c r="B161">
        <v>16</v>
      </c>
      <c r="C161">
        <v>20</v>
      </c>
    </row>
    <row r="162" spans="1:3">
      <c r="A162" t="s">
        <v>266</v>
      </c>
      <c r="B162">
        <v>17</v>
      </c>
      <c r="C162">
        <v>24</v>
      </c>
    </row>
    <row r="163" spans="1:3">
      <c r="A163" t="s">
        <v>266</v>
      </c>
      <c r="B163">
        <v>18</v>
      </c>
      <c r="C163">
        <v>27</v>
      </c>
    </row>
    <row r="164" spans="1:3">
      <c r="A164" t="s">
        <v>266</v>
      </c>
      <c r="B164">
        <v>19</v>
      </c>
      <c r="C164">
        <v>24</v>
      </c>
    </row>
    <row r="165" spans="1:3">
      <c r="A165" t="s">
        <v>266</v>
      </c>
      <c r="B165">
        <v>20</v>
      </c>
      <c r="C165">
        <v>29</v>
      </c>
    </row>
    <row r="166" spans="1:3">
      <c r="A166" t="s">
        <v>266</v>
      </c>
      <c r="B166">
        <v>21</v>
      </c>
      <c r="C166">
        <v>18</v>
      </c>
    </row>
    <row r="167" spans="1:3">
      <c r="A167" t="s">
        <v>266</v>
      </c>
      <c r="B167">
        <v>22</v>
      </c>
      <c r="C167">
        <v>16</v>
      </c>
    </row>
    <row r="168" spans="1:3">
      <c r="A168" t="s">
        <v>266</v>
      </c>
      <c r="B168">
        <v>23</v>
      </c>
      <c r="C168">
        <v>10</v>
      </c>
    </row>
    <row r="169" spans="1:3">
      <c r="A169" t="s">
        <v>266</v>
      </c>
      <c r="B169">
        <v>24</v>
      </c>
      <c r="C169">
        <v>12</v>
      </c>
    </row>
    <row r="170" spans="1:3">
      <c r="A170" t="s">
        <v>257</v>
      </c>
      <c r="B170">
        <v>1</v>
      </c>
      <c r="C170">
        <v>0</v>
      </c>
    </row>
    <row r="171" spans="1:3">
      <c r="A171" t="s">
        <v>257</v>
      </c>
      <c r="B171">
        <v>2</v>
      </c>
      <c r="C171">
        <v>0</v>
      </c>
    </row>
    <row r="172" spans="1:3">
      <c r="A172" t="s">
        <v>257</v>
      </c>
      <c r="B172">
        <v>3</v>
      </c>
      <c r="C172">
        <v>0</v>
      </c>
    </row>
    <row r="173" spans="1:3">
      <c r="A173" t="s">
        <v>257</v>
      </c>
      <c r="B173">
        <v>4</v>
      </c>
      <c r="C173">
        <v>5</v>
      </c>
    </row>
    <row r="174" spans="1:3">
      <c r="A174" t="s">
        <v>257</v>
      </c>
      <c r="B174">
        <v>5</v>
      </c>
      <c r="C174">
        <v>11</v>
      </c>
    </row>
    <row r="175" spans="1:3">
      <c r="A175" t="s">
        <v>257</v>
      </c>
      <c r="B175">
        <v>6</v>
      </c>
      <c r="C175">
        <v>27</v>
      </c>
    </row>
    <row r="176" spans="1:3">
      <c r="A176" t="s">
        <v>257</v>
      </c>
      <c r="B176">
        <v>7</v>
      </c>
      <c r="C176">
        <v>37</v>
      </c>
    </row>
    <row r="177" spans="1:3">
      <c r="A177" t="s">
        <v>257</v>
      </c>
      <c r="B177">
        <v>8</v>
      </c>
      <c r="C177">
        <v>28</v>
      </c>
    </row>
    <row r="178" spans="1:3">
      <c r="A178" t="s">
        <v>257</v>
      </c>
      <c r="B178">
        <v>9</v>
      </c>
      <c r="C178">
        <v>29</v>
      </c>
    </row>
    <row r="179" spans="1:3">
      <c r="A179" t="s">
        <v>257</v>
      </c>
      <c r="B179">
        <v>10</v>
      </c>
      <c r="C179">
        <v>31</v>
      </c>
    </row>
    <row r="180" spans="1:3">
      <c r="A180" t="s">
        <v>257</v>
      </c>
      <c r="B180">
        <v>11</v>
      </c>
      <c r="C180">
        <v>25</v>
      </c>
    </row>
    <row r="181" spans="1:3">
      <c r="A181" t="s">
        <v>257</v>
      </c>
      <c r="B181">
        <v>12</v>
      </c>
      <c r="C181">
        <v>30</v>
      </c>
    </row>
    <row r="182" spans="1:3">
      <c r="A182" t="s">
        <v>257</v>
      </c>
      <c r="B182">
        <v>13</v>
      </c>
      <c r="C182">
        <v>33</v>
      </c>
    </row>
    <row r="183" spans="1:3">
      <c r="A183" t="s">
        <v>257</v>
      </c>
      <c r="B183">
        <v>14</v>
      </c>
      <c r="C183">
        <v>33</v>
      </c>
    </row>
    <row r="184" spans="1:3">
      <c r="A184" t="s">
        <v>257</v>
      </c>
      <c r="B184">
        <v>15</v>
      </c>
      <c r="C184">
        <v>34</v>
      </c>
    </row>
    <row r="185" spans="1:3">
      <c r="A185" t="s">
        <v>257</v>
      </c>
      <c r="B185">
        <v>16</v>
      </c>
      <c r="C185">
        <v>28</v>
      </c>
    </row>
    <row r="186" spans="1:3">
      <c r="A186" t="s">
        <v>257</v>
      </c>
      <c r="B186">
        <v>17</v>
      </c>
      <c r="C186">
        <v>27</v>
      </c>
    </row>
    <row r="187" spans="1:3">
      <c r="A187" t="s">
        <v>257</v>
      </c>
      <c r="B187">
        <v>18</v>
      </c>
      <c r="C187">
        <v>26</v>
      </c>
    </row>
    <row r="188" spans="1:3">
      <c r="A188" t="s">
        <v>257</v>
      </c>
      <c r="B188">
        <v>19</v>
      </c>
      <c r="C188">
        <v>28</v>
      </c>
    </row>
    <row r="189" spans="1:3">
      <c r="A189" t="s">
        <v>257</v>
      </c>
      <c r="B189">
        <v>20</v>
      </c>
      <c r="C189">
        <v>25</v>
      </c>
    </row>
    <row r="190" spans="1:3">
      <c r="A190" t="s">
        <v>257</v>
      </c>
      <c r="B190">
        <v>21</v>
      </c>
      <c r="C190">
        <v>19</v>
      </c>
    </row>
    <row r="191" spans="1:3">
      <c r="A191" t="s">
        <v>257</v>
      </c>
      <c r="B191">
        <v>22</v>
      </c>
      <c r="C191">
        <v>21</v>
      </c>
    </row>
    <row r="192" spans="1:3">
      <c r="A192" t="s">
        <v>257</v>
      </c>
      <c r="B192">
        <v>23</v>
      </c>
      <c r="C192">
        <v>12</v>
      </c>
    </row>
    <row r="193" spans="1:3">
      <c r="A193" t="s">
        <v>257</v>
      </c>
      <c r="B193">
        <v>24</v>
      </c>
      <c r="C193">
        <v>10</v>
      </c>
    </row>
    <row r="194" spans="1:3">
      <c r="A194" t="s">
        <v>255</v>
      </c>
      <c r="B194">
        <v>1</v>
      </c>
      <c r="C194">
        <v>0</v>
      </c>
    </row>
    <row r="195" spans="1:3">
      <c r="A195" t="s">
        <v>255</v>
      </c>
      <c r="B195">
        <v>2</v>
      </c>
      <c r="C195">
        <v>0</v>
      </c>
    </row>
    <row r="196" spans="1:3">
      <c r="A196" t="s">
        <v>255</v>
      </c>
      <c r="B196">
        <v>3</v>
      </c>
      <c r="C196">
        <v>0</v>
      </c>
    </row>
    <row r="197" spans="1:3">
      <c r="A197" t="s">
        <v>255</v>
      </c>
      <c r="B197">
        <v>4</v>
      </c>
      <c r="C197">
        <v>6</v>
      </c>
    </row>
    <row r="198" spans="1:3">
      <c r="A198" t="s">
        <v>255</v>
      </c>
      <c r="B198">
        <v>5</v>
      </c>
      <c r="C198">
        <v>19</v>
      </c>
    </row>
    <row r="199" spans="1:3">
      <c r="A199" t="s">
        <v>255</v>
      </c>
      <c r="B199">
        <v>6</v>
      </c>
      <c r="C199">
        <v>31</v>
      </c>
    </row>
    <row r="200" spans="1:3">
      <c r="A200" t="s">
        <v>255</v>
      </c>
      <c r="B200">
        <v>7</v>
      </c>
      <c r="C200">
        <v>38</v>
      </c>
    </row>
    <row r="201" spans="1:3">
      <c r="A201" t="s">
        <v>255</v>
      </c>
      <c r="B201">
        <v>8</v>
      </c>
      <c r="C201">
        <v>31</v>
      </c>
    </row>
    <row r="202" spans="1:3">
      <c r="A202" t="s">
        <v>255</v>
      </c>
      <c r="B202">
        <v>9</v>
      </c>
      <c r="C202">
        <v>30</v>
      </c>
    </row>
    <row r="203" spans="1:3">
      <c r="A203" t="s">
        <v>255</v>
      </c>
      <c r="B203">
        <v>10</v>
      </c>
      <c r="C203">
        <v>27</v>
      </c>
    </row>
    <row r="204" spans="1:3">
      <c r="A204" t="s">
        <v>255</v>
      </c>
      <c r="B204">
        <v>11</v>
      </c>
      <c r="C204">
        <v>25</v>
      </c>
    </row>
    <row r="205" spans="1:3">
      <c r="A205" t="s">
        <v>255</v>
      </c>
      <c r="B205">
        <v>12</v>
      </c>
      <c r="C205">
        <v>29</v>
      </c>
    </row>
    <row r="206" spans="1:3">
      <c r="A206" t="s">
        <v>255</v>
      </c>
      <c r="B206">
        <v>13</v>
      </c>
      <c r="C206">
        <v>34</v>
      </c>
    </row>
    <row r="207" spans="1:3">
      <c r="A207" t="s">
        <v>255</v>
      </c>
      <c r="B207">
        <v>14</v>
      </c>
      <c r="C207">
        <v>39</v>
      </c>
    </row>
    <row r="208" spans="1:3">
      <c r="A208" t="s">
        <v>255</v>
      </c>
      <c r="B208">
        <v>15</v>
      </c>
      <c r="C208">
        <v>37</v>
      </c>
    </row>
    <row r="209" spans="1:3">
      <c r="A209" t="s">
        <v>255</v>
      </c>
      <c r="B209">
        <v>16</v>
      </c>
      <c r="C209">
        <v>34</v>
      </c>
    </row>
    <row r="210" spans="1:3">
      <c r="A210" t="s">
        <v>255</v>
      </c>
      <c r="B210">
        <v>17</v>
      </c>
      <c r="C210">
        <v>34</v>
      </c>
    </row>
    <row r="211" spans="1:3">
      <c r="A211" t="s">
        <v>255</v>
      </c>
      <c r="B211">
        <v>18</v>
      </c>
      <c r="C211">
        <v>33</v>
      </c>
    </row>
    <row r="212" spans="1:3">
      <c r="A212" t="s">
        <v>255</v>
      </c>
      <c r="B212">
        <v>19</v>
      </c>
      <c r="C212">
        <v>32</v>
      </c>
    </row>
    <row r="213" spans="1:3">
      <c r="A213" t="s">
        <v>255</v>
      </c>
      <c r="B213">
        <v>20</v>
      </c>
      <c r="C213">
        <v>31</v>
      </c>
    </row>
    <row r="214" spans="1:3">
      <c r="A214" t="s">
        <v>255</v>
      </c>
      <c r="B214">
        <v>21</v>
      </c>
      <c r="C214">
        <v>26</v>
      </c>
    </row>
    <row r="215" spans="1:3">
      <c r="A215" t="s">
        <v>255</v>
      </c>
      <c r="B215">
        <v>22</v>
      </c>
      <c r="C215">
        <v>20</v>
      </c>
    </row>
    <row r="216" spans="1:3">
      <c r="A216" t="s">
        <v>255</v>
      </c>
      <c r="B216">
        <v>23</v>
      </c>
      <c r="C216">
        <v>15</v>
      </c>
    </row>
    <row r="217" spans="1:3">
      <c r="A217" t="s">
        <v>255</v>
      </c>
      <c r="B217">
        <v>24</v>
      </c>
      <c r="C217">
        <v>5</v>
      </c>
    </row>
    <row r="218" spans="1:3">
      <c r="A218" t="s">
        <v>176</v>
      </c>
      <c r="B218">
        <v>1</v>
      </c>
      <c r="C218">
        <v>0</v>
      </c>
    </row>
    <row r="219" spans="1:3">
      <c r="A219" t="s">
        <v>176</v>
      </c>
      <c r="B219">
        <v>2</v>
      </c>
      <c r="C219">
        <v>0</v>
      </c>
    </row>
    <row r="220" spans="1:3">
      <c r="A220" t="s">
        <v>176</v>
      </c>
      <c r="B220">
        <v>3</v>
      </c>
      <c r="C220">
        <v>0</v>
      </c>
    </row>
    <row r="221" spans="1:3">
      <c r="A221" t="s">
        <v>176</v>
      </c>
      <c r="B221">
        <v>4</v>
      </c>
      <c r="C221">
        <v>21</v>
      </c>
    </row>
    <row r="222" spans="1:3">
      <c r="A222" t="s">
        <v>176</v>
      </c>
      <c r="B222">
        <v>5</v>
      </c>
      <c r="C222">
        <v>60</v>
      </c>
    </row>
    <row r="223" spans="1:3">
      <c r="A223" t="s">
        <v>176</v>
      </c>
      <c r="B223">
        <v>6</v>
      </c>
      <c r="C223">
        <v>76</v>
      </c>
    </row>
    <row r="224" spans="1:3">
      <c r="A224" t="s">
        <v>176</v>
      </c>
      <c r="B224">
        <v>7</v>
      </c>
      <c r="C224">
        <v>65</v>
      </c>
    </row>
    <row r="225" spans="1:3">
      <c r="A225" t="s">
        <v>176</v>
      </c>
      <c r="B225">
        <v>8</v>
      </c>
      <c r="C225">
        <v>102</v>
      </c>
    </row>
    <row r="226" spans="1:3">
      <c r="A226" t="s">
        <v>176</v>
      </c>
      <c r="B226">
        <v>9</v>
      </c>
      <c r="C226">
        <v>109</v>
      </c>
    </row>
    <row r="227" spans="1:3">
      <c r="A227" t="s">
        <v>176</v>
      </c>
      <c r="B227">
        <v>10</v>
      </c>
      <c r="C227">
        <v>64</v>
      </c>
    </row>
    <row r="228" spans="1:3">
      <c r="A228" t="s">
        <v>176</v>
      </c>
      <c r="B228">
        <v>11</v>
      </c>
      <c r="C228">
        <v>52</v>
      </c>
    </row>
    <row r="229" spans="1:3">
      <c r="A229" t="s">
        <v>176</v>
      </c>
      <c r="B229">
        <v>12</v>
      </c>
      <c r="C229">
        <v>57</v>
      </c>
    </row>
    <row r="230" spans="1:3">
      <c r="A230" t="s">
        <v>176</v>
      </c>
      <c r="B230">
        <v>13</v>
      </c>
      <c r="C230">
        <v>71</v>
      </c>
    </row>
    <row r="231" spans="1:3">
      <c r="A231" t="s">
        <v>176</v>
      </c>
      <c r="B231">
        <v>14</v>
      </c>
      <c r="C231">
        <v>68</v>
      </c>
    </row>
    <row r="232" spans="1:3">
      <c r="A232" t="s">
        <v>176</v>
      </c>
      <c r="B232">
        <v>15</v>
      </c>
      <c r="C232">
        <v>80</v>
      </c>
    </row>
    <row r="233" spans="1:3">
      <c r="A233" t="s">
        <v>176</v>
      </c>
      <c r="B233">
        <v>16</v>
      </c>
      <c r="C233">
        <v>63</v>
      </c>
    </row>
    <row r="234" spans="1:3">
      <c r="A234" t="s">
        <v>176</v>
      </c>
      <c r="B234">
        <v>17</v>
      </c>
      <c r="C234">
        <v>62</v>
      </c>
    </row>
    <row r="235" spans="1:3">
      <c r="A235" t="s">
        <v>176</v>
      </c>
      <c r="B235">
        <v>18</v>
      </c>
      <c r="C235">
        <v>76</v>
      </c>
    </row>
    <row r="236" spans="1:3">
      <c r="A236" t="s">
        <v>176</v>
      </c>
      <c r="B236">
        <v>19</v>
      </c>
      <c r="C236">
        <v>64</v>
      </c>
    </row>
    <row r="237" spans="1:3">
      <c r="A237" t="s">
        <v>176</v>
      </c>
      <c r="B237">
        <v>20</v>
      </c>
      <c r="C237">
        <v>53</v>
      </c>
    </row>
    <row r="238" spans="1:3">
      <c r="A238" t="s">
        <v>176</v>
      </c>
      <c r="B238">
        <v>21</v>
      </c>
      <c r="C238">
        <v>31</v>
      </c>
    </row>
    <row r="239" spans="1:3">
      <c r="A239" t="s">
        <v>176</v>
      </c>
      <c r="B239">
        <v>22</v>
      </c>
      <c r="C239">
        <v>38</v>
      </c>
    </row>
    <row r="240" spans="1:3">
      <c r="A240" t="s">
        <v>176</v>
      </c>
      <c r="B240">
        <v>23</v>
      </c>
      <c r="C240">
        <v>22</v>
      </c>
    </row>
    <row r="241" spans="1:3">
      <c r="A241" t="s">
        <v>176</v>
      </c>
      <c r="B241">
        <v>24</v>
      </c>
      <c r="C241">
        <v>8</v>
      </c>
    </row>
    <row r="242" spans="1:3">
      <c r="A242" t="s">
        <v>242</v>
      </c>
      <c r="B242">
        <v>1</v>
      </c>
      <c r="C242">
        <v>0</v>
      </c>
    </row>
    <row r="243" spans="1:3">
      <c r="A243" t="s">
        <v>242</v>
      </c>
      <c r="B243">
        <v>2</v>
      </c>
      <c r="C243">
        <v>0</v>
      </c>
    </row>
    <row r="244" spans="1:3">
      <c r="A244" t="s">
        <v>242</v>
      </c>
      <c r="B244">
        <v>3</v>
      </c>
      <c r="C244">
        <v>0</v>
      </c>
    </row>
    <row r="245" spans="1:3">
      <c r="A245" t="s">
        <v>242</v>
      </c>
      <c r="B245">
        <v>4</v>
      </c>
      <c r="C245">
        <v>11</v>
      </c>
    </row>
    <row r="246" spans="1:3">
      <c r="A246" t="s">
        <v>242</v>
      </c>
      <c r="B246">
        <v>5</v>
      </c>
      <c r="C246">
        <v>16</v>
      </c>
    </row>
    <row r="247" spans="1:3">
      <c r="A247" t="s">
        <v>242</v>
      </c>
      <c r="B247">
        <v>6</v>
      </c>
      <c r="C247">
        <v>30</v>
      </c>
    </row>
    <row r="248" spans="1:3">
      <c r="A248" t="s">
        <v>242</v>
      </c>
      <c r="B248">
        <v>7</v>
      </c>
      <c r="C248">
        <v>27</v>
      </c>
    </row>
    <row r="249" spans="1:3">
      <c r="A249" t="s">
        <v>242</v>
      </c>
      <c r="B249">
        <v>8</v>
      </c>
      <c r="C249">
        <v>28</v>
      </c>
    </row>
    <row r="250" spans="1:3">
      <c r="A250" t="s">
        <v>242</v>
      </c>
      <c r="B250">
        <v>9</v>
      </c>
      <c r="C250">
        <v>33</v>
      </c>
    </row>
    <row r="251" spans="1:3">
      <c r="A251" t="s">
        <v>242</v>
      </c>
      <c r="B251">
        <v>10</v>
      </c>
      <c r="C251">
        <v>21</v>
      </c>
    </row>
    <row r="252" spans="1:3">
      <c r="A252" t="s">
        <v>242</v>
      </c>
      <c r="B252">
        <v>11</v>
      </c>
      <c r="C252">
        <v>34</v>
      </c>
    </row>
    <row r="253" spans="1:3">
      <c r="A253" t="s">
        <v>242</v>
      </c>
      <c r="B253">
        <v>12</v>
      </c>
      <c r="C253">
        <v>32</v>
      </c>
    </row>
    <row r="254" spans="1:3">
      <c r="A254" t="s">
        <v>242</v>
      </c>
      <c r="B254">
        <v>13</v>
      </c>
      <c r="C254">
        <v>23</v>
      </c>
    </row>
    <row r="255" spans="1:3">
      <c r="A255" t="s">
        <v>242</v>
      </c>
      <c r="B255">
        <v>14</v>
      </c>
      <c r="C255">
        <v>27</v>
      </c>
    </row>
    <row r="256" spans="1:3">
      <c r="A256" t="s">
        <v>242</v>
      </c>
      <c r="B256">
        <v>15</v>
      </c>
      <c r="C256">
        <v>49</v>
      </c>
    </row>
    <row r="257" spans="1:3">
      <c r="A257" t="s">
        <v>242</v>
      </c>
      <c r="B257">
        <v>16</v>
      </c>
      <c r="C257">
        <v>27</v>
      </c>
    </row>
    <row r="258" spans="1:3">
      <c r="A258" t="s">
        <v>242</v>
      </c>
      <c r="B258">
        <v>17</v>
      </c>
      <c r="C258">
        <v>30</v>
      </c>
    </row>
    <row r="259" spans="1:3">
      <c r="A259" t="s">
        <v>242</v>
      </c>
      <c r="B259">
        <v>18</v>
      </c>
      <c r="C259">
        <v>35</v>
      </c>
    </row>
    <row r="260" spans="1:3">
      <c r="A260" t="s">
        <v>242</v>
      </c>
      <c r="B260">
        <v>19</v>
      </c>
      <c r="C260">
        <v>33</v>
      </c>
    </row>
    <row r="261" spans="1:3">
      <c r="A261" t="s">
        <v>242</v>
      </c>
      <c r="B261">
        <v>20</v>
      </c>
      <c r="C261">
        <v>23</v>
      </c>
    </row>
    <row r="262" spans="1:3">
      <c r="A262" t="s">
        <v>242</v>
      </c>
      <c r="B262">
        <v>21</v>
      </c>
      <c r="C262">
        <v>24</v>
      </c>
    </row>
    <row r="263" spans="1:3">
      <c r="A263" t="s">
        <v>242</v>
      </c>
      <c r="B263">
        <v>22</v>
      </c>
      <c r="C263">
        <v>24</v>
      </c>
    </row>
    <row r="264" spans="1:3">
      <c r="A264" t="s">
        <v>242</v>
      </c>
      <c r="B264">
        <v>23</v>
      </c>
      <c r="C264">
        <v>15</v>
      </c>
    </row>
    <row r="265" spans="1:3">
      <c r="A265" t="s">
        <v>242</v>
      </c>
      <c r="B265">
        <v>24</v>
      </c>
      <c r="C265">
        <v>9</v>
      </c>
    </row>
    <row r="266" spans="1:3">
      <c r="A266" t="s">
        <v>273</v>
      </c>
      <c r="B266">
        <v>1</v>
      </c>
      <c r="C266">
        <v>0</v>
      </c>
    </row>
    <row r="267" spans="1:3">
      <c r="A267" t="s">
        <v>273</v>
      </c>
      <c r="B267">
        <v>2</v>
      </c>
      <c r="C267">
        <v>0</v>
      </c>
    </row>
    <row r="268" spans="1:3">
      <c r="A268" t="s">
        <v>273</v>
      </c>
      <c r="B268">
        <v>3</v>
      </c>
      <c r="C268">
        <v>0</v>
      </c>
    </row>
    <row r="269" spans="1:3">
      <c r="A269" t="s">
        <v>273</v>
      </c>
      <c r="B269">
        <v>4</v>
      </c>
      <c r="C269">
        <v>9</v>
      </c>
    </row>
    <row r="270" spans="1:3">
      <c r="A270" t="s">
        <v>273</v>
      </c>
      <c r="B270">
        <v>5</v>
      </c>
      <c r="C270">
        <v>13</v>
      </c>
    </row>
    <row r="271" spans="1:3">
      <c r="A271" t="s">
        <v>273</v>
      </c>
      <c r="B271">
        <v>6</v>
      </c>
      <c r="C271">
        <v>23</v>
      </c>
    </row>
    <row r="272" spans="1:3">
      <c r="A272" t="s">
        <v>273</v>
      </c>
      <c r="B272">
        <v>7</v>
      </c>
      <c r="C272">
        <v>21</v>
      </c>
    </row>
    <row r="273" spans="1:3">
      <c r="A273" t="s">
        <v>273</v>
      </c>
      <c r="B273">
        <v>8</v>
      </c>
      <c r="C273">
        <v>27</v>
      </c>
    </row>
    <row r="274" spans="1:3">
      <c r="A274" t="s">
        <v>273</v>
      </c>
      <c r="B274">
        <v>9</v>
      </c>
      <c r="C274">
        <v>27</v>
      </c>
    </row>
    <row r="275" spans="1:3">
      <c r="A275" t="s">
        <v>273</v>
      </c>
      <c r="B275">
        <v>10</v>
      </c>
      <c r="C275">
        <v>26</v>
      </c>
    </row>
    <row r="276" spans="1:3">
      <c r="A276" t="s">
        <v>273</v>
      </c>
      <c r="B276">
        <v>11</v>
      </c>
      <c r="C276">
        <v>13</v>
      </c>
    </row>
    <row r="277" spans="1:3">
      <c r="A277" t="s">
        <v>273</v>
      </c>
      <c r="B277">
        <v>12</v>
      </c>
      <c r="C277">
        <v>19</v>
      </c>
    </row>
    <row r="278" spans="1:3">
      <c r="A278" t="s">
        <v>273</v>
      </c>
      <c r="B278">
        <v>13</v>
      </c>
      <c r="C278">
        <v>20</v>
      </c>
    </row>
    <row r="279" spans="1:3">
      <c r="A279" t="s">
        <v>273</v>
      </c>
      <c r="B279">
        <v>14</v>
      </c>
      <c r="C279">
        <v>26</v>
      </c>
    </row>
    <row r="280" spans="1:3">
      <c r="A280" t="s">
        <v>273</v>
      </c>
      <c r="B280">
        <v>15</v>
      </c>
      <c r="C280">
        <v>32</v>
      </c>
    </row>
    <row r="281" spans="1:3">
      <c r="A281" t="s">
        <v>273</v>
      </c>
      <c r="B281">
        <v>16</v>
      </c>
      <c r="C281">
        <v>24</v>
      </c>
    </row>
    <row r="282" spans="1:3">
      <c r="A282" t="s">
        <v>273</v>
      </c>
      <c r="B282">
        <v>17</v>
      </c>
      <c r="C282">
        <v>25</v>
      </c>
    </row>
    <row r="283" spans="1:3">
      <c r="A283" t="s">
        <v>273</v>
      </c>
      <c r="B283">
        <v>18</v>
      </c>
      <c r="C283">
        <v>15</v>
      </c>
    </row>
    <row r="284" spans="1:3">
      <c r="A284" t="s">
        <v>273</v>
      </c>
      <c r="B284">
        <v>19</v>
      </c>
      <c r="C284">
        <v>20</v>
      </c>
    </row>
    <row r="285" spans="1:3">
      <c r="A285" t="s">
        <v>273</v>
      </c>
      <c r="B285">
        <v>20</v>
      </c>
      <c r="C285">
        <v>15</v>
      </c>
    </row>
    <row r="286" spans="1:3">
      <c r="A286" t="s">
        <v>273</v>
      </c>
      <c r="B286">
        <v>21</v>
      </c>
      <c r="C286">
        <v>12</v>
      </c>
    </row>
    <row r="287" spans="1:3">
      <c r="A287" t="s">
        <v>273</v>
      </c>
      <c r="B287">
        <v>22</v>
      </c>
      <c r="C287">
        <v>10</v>
      </c>
    </row>
    <row r="288" spans="1:3">
      <c r="A288" t="s">
        <v>273</v>
      </c>
      <c r="B288">
        <v>23</v>
      </c>
      <c r="C288">
        <v>7</v>
      </c>
    </row>
    <row r="289" spans="1:3">
      <c r="A289" t="s">
        <v>273</v>
      </c>
      <c r="B289">
        <v>24</v>
      </c>
      <c r="C289">
        <v>0</v>
      </c>
    </row>
    <row r="290" spans="1:3">
      <c r="A290" t="s">
        <v>256</v>
      </c>
      <c r="B290">
        <v>1</v>
      </c>
      <c r="C290">
        <v>0</v>
      </c>
    </row>
    <row r="291" spans="1:3">
      <c r="A291" t="s">
        <v>256</v>
      </c>
      <c r="B291">
        <v>2</v>
      </c>
      <c r="C291">
        <v>0</v>
      </c>
    </row>
    <row r="292" spans="1:3">
      <c r="A292" t="s">
        <v>256</v>
      </c>
      <c r="B292">
        <v>3</v>
      </c>
      <c r="C292">
        <v>0</v>
      </c>
    </row>
    <row r="293" spans="1:3">
      <c r="A293" t="s">
        <v>256</v>
      </c>
      <c r="B293">
        <v>4</v>
      </c>
      <c r="C293">
        <v>1</v>
      </c>
    </row>
    <row r="294" spans="1:3">
      <c r="A294" t="s">
        <v>256</v>
      </c>
      <c r="B294">
        <v>5</v>
      </c>
      <c r="C294">
        <v>16</v>
      </c>
    </row>
    <row r="295" spans="1:3">
      <c r="A295" t="s">
        <v>256</v>
      </c>
      <c r="B295">
        <v>6</v>
      </c>
      <c r="C295">
        <v>34</v>
      </c>
    </row>
    <row r="296" spans="1:3">
      <c r="A296" t="s">
        <v>256</v>
      </c>
      <c r="B296">
        <v>7</v>
      </c>
      <c r="C296">
        <v>32</v>
      </c>
    </row>
    <row r="297" spans="1:3">
      <c r="A297" t="s">
        <v>256</v>
      </c>
      <c r="B297">
        <v>8</v>
      </c>
      <c r="C297">
        <v>27</v>
      </c>
    </row>
    <row r="298" spans="1:3">
      <c r="A298" t="s">
        <v>256</v>
      </c>
      <c r="B298">
        <v>9</v>
      </c>
      <c r="C298">
        <v>31</v>
      </c>
    </row>
    <row r="299" spans="1:3">
      <c r="A299" t="s">
        <v>256</v>
      </c>
      <c r="B299">
        <v>10</v>
      </c>
      <c r="C299">
        <v>28</v>
      </c>
    </row>
    <row r="300" spans="1:3">
      <c r="A300" t="s">
        <v>256</v>
      </c>
      <c r="B300">
        <v>11</v>
      </c>
      <c r="C300">
        <v>27</v>
      </c>
    </row>
    <row r="301" spans="1:3">
      <c r="A301" t="s">
        <v>256</v>
      </c>
      <c r="B301">
        <v>12</v>
      </c>
      <c r="C301">
        <v>29</v>
      </c>
    </row>
    <row r="302" spans="1:3">
      <c r="A302" t="s">
        <v>256</v>
      </c>
      <c r="B302">
        <v>13</v>
      </c>
      <c r="C302">
        <v>31</v>
      </c>
    </row>
    <row r="303" spans="1:3">
      <c r="A303" t="s">
        <v>256</v>
      </c>
      <c r="B303">
        <v>14</v>
      </c>
      <c r="C303">
        <v>35</v>
      </c>
    </row>
    <row r="304" spans="1:3">
      <c r="A304" t="s">
        <v>256</v>
      </c>
      <c r="B304">
        <v>15</v>
      </c>
      <c r="C304">
        <v>39</v>
      </c>
    </row>
    <row r="305" spans="1:3">
      <c r="A305" t="s">
        <v>256</v>
      </c>
      <c r="B305">
        <v>16</v>
      </c>
      <c r="C305">
        <v>34</v>
      </c>
    </row>
    <row r="306" spans="1:3">
      <c r="A306" t="s">
        <v>256</v>
      </c>
      <c r="B306">
        <v>17</v>
      </c>
      <c r="C306">
        <v>27</v>
      </c>
    </row>
    <row r="307" spans="1:3">
      <c r="A307" t="s">
        <v>256</v>
      </c>
      <c r="B307">
        <v>18</v>
      </c>
      <c r="C307">
        <v>24</v>
      </c>
    </row>
    <row r="308" spans="1:3">
      <c r="A308" t="s">
        <v>256</v>
      </c>
      <c r="B308">
        <v>19</v>
      </c>
      <c r="C308">
        <v>33</v>
      </c>
    </row>
    <row r="309" spans="1:3">
      <c r="A309" t="s">
        <v>256</v>
      </c>
      <c r="B309">
        <v>20</v>
      </c>
      <c r="C309">
        <v>25</v>
      </c>
    </row>
    <row r="310" spans="1:3">
      <c r="A310" t="s">
        <v>256</v>
      </c>
      <c r="B310">
        <v>21</v>
      </c>
      <c r="C310">
        <v>19</v>
      </c>
    </row>
    <row r="311" spans="1:3">
      <c r="A311" t="s">
        <v>256</v>
      </c>
      <c r="B311">
        <v>22</v>
      </c>
      <c r="C311">
        <v>21</v>
      </c>
    </row>
    <row r="312" spans="1:3">
      <c r="A312" t="s">
        <v>256</v>
      </c>
      <c r="B312">
        <v>23</v>
      </c>
      <c r="C312">
        <v>14</v>
      </c>
    </row>
    <row r="313" spans="1:3">
      <c r="A313" t="s">
        <v>256</v>
      </c>
      <c r="B313">
        <v>24</v>
      </c>
      <c r="C313">
        <v>4</v>
      </c>
    </row>
    <row r="314" spans="1:3">
      <c r="A314" t="s">
        <v>267</v>
      </c>
      <c r="B314">
        <v>1</v>
      </c>
      <c r="C314">
        <v>0</v>
      </c>
    </row>
    <row r="315" spans="1:3">
      <c r="A315" t="s">
        <v>267</v>
      </c>
      <c r="B315">
        <v>2</v>
      </c>
      <c r="C315">
        <v>0</v>
      </c>
    </row>
    <row r="316" spans="1:3">
      <c r="A316" t="s">
        <v>267</v>
      </c>
      <c r="B316">
        <v>3</v>
      </c>
      <c r="C316">
        <v>0</v>
      </c>
    </row>
    <row r="317" spans="1:3">
      <c r="A317" t="s">
        <v>267</v>
      </c>
      <c r="B317">
        <v>4</v>
      </c>
      <c r="C317">
        <v>2</v>
      </c>
    </row>
    <row r="318" spans="1:3">
      <c r="A318" t="s">
        <v>267</v>
      </c>
      <c r="B318">
        <v>5</v>
      </c>
      <c r="C318">
        <v>18</v>
      </c>
    </row>
    <row r="319" spans="1:3">
      <c r="A319" t="s">
        <v>267</v>
      </c>
      <c r="B319">
        <v>6</v>
      </c>
      <c r="C319">
        <v>23</v>
      </c>
    </row>
    <row r="320" spans="1:3">
      <c r="A320" t="s">
        <v>267</v>
      </c>
      <c r="B320">
        <v>7</v>
      </c>
      <c r="C320">
        <v>28</v>
      </c>
    </row>
    <row r="321" spans="1:3">
      <c r="A321" t="s">
        <v>267</v>
      </c>
      <c r="B321">
        <v>8</v>
      </c>
      <c r="C321">
        <v>23</v>
      </c>
    </row>
    <row r="322" spans="1:3">
      <c r="A322" t="s">
        <v>267</v>
      </c>
      <c r="B322">
        <v>9</v>
      </c>
      <c r="C322">
        <v>18</v>
      </c>
    </row>
    <row r="323" spans="1:3">
      <c r="A323" t="s">
        <v>267</v>
      </c>
      <c r="B323">
        <v>10</v>
      </c>
      <c r="C323">
        <v>24</v>
      </c>
    </row>
    <row r="324" spans="1:3">
      <c r="A324" t="s">
        <v>267</v>
      </c>
      <c r="B324">
        <v>11</v>
      </c>
      <c r="C324">
        <v>30</v>
      </c>
    </row>
    <row r="325" spans="1:3">
      <c r="A325" t="s">
        <v>267</v>
      </c>
      <c r="B325">
        <v>12</v>
      </c>
      <c r="C325">
        <v>21</v>
      </c>
    </row>
    <row r="326" spans="1:3">
      <c r="A326" t="s">
        <v>267</v>
      </c>
      <c r="B326">
        <v>13</v>
      </c>
      <c r="C326">
        <v>26</v>
      </c>
    </row>
    <row r="327" spans="1:3">
      <c r="A327" t="s">
        <v>267</v>
      </c>
      <c r="B327">
        <v>14</v>
      </c>
      <c r="C327">
        <v>24</v>
      </c>
    </row>
    <row r="328" spans="1:3">
      <c r="A328" t="s">
        <v>267</v>
      </c>
      <c r="B328">
        <v>15</v>
      </c>
      <c r="C328">
        <v>30</v>
      </c>
    </row>
    <row r="329" spans="1:3">
      <c r="A329" t="s">
        <v>267</v>
      </c>
      <c r="B329">
        <v>16</v>
      </c>
      <c r="C329">
        <v>28</v>
      </c>
    </row>
    <row r="330" spans="1:3">
      <c r="A330" t="s">
        <v>267</v>
      </c>
      <c r="B330">
        <v>17</v>
      </c>
      <c r="C330">
        <v>27</v>
      </c>
    </row>
    <row r="331" spans="1:3">
      <c r="A331" t="s">
        <v>267</v>
      </c>
      <c r="B331">
        <v>18</v>
      </c>
      <c r="C331">
        <v>24</v>
      </c>
    </row>
    <row r="332" spans="1:3">
      <c r="A332" t="s">
        <v>267</v>
      </c>
      <c r="B332">
        <v>19</v>
      </c>
      <c r="C332">
        <v>28</v>
      </c>
    </row>
    <row r="333" spans="1:3">
      <c r="A333" t="s">
        <v>267</v>
      </c>
      <c r="B333">
        <v>20</v>
      </c>
      <c r="C333">
        <v>31</v>
      </c>
    </row>
    <row r="334" spans="1:3">
      <c r="A334" t="s">
        <v>267</v>
      </c>
      <c r="B334">
        <v>21</v>
      </c>
      <c r="C334">
        <v>23</v>
      </c>
    </row>
    <row r="335" spans="1:3">
      <c r="A335" t="s">
        <v>267</v>
      </c>
      <c r="B335">
        <v>22</v>
      </c>
      <c r="C335">
        <v>23</v>
      </c>
    </row>
    <row r="336" spans="1:3">
      <c r="A336" t="s">
        <v>267</v>
      </c>
      <c r="B336">
        <v>23</v>
      </c>
      <c r="C336">
        <v>14</v>
      </c>
    </row>
    <row r="337" spans="1:3">
      <c r="A337" t="s">
        <v>267</v>
      </c>
      <c r="B337">
        <v>24</v>
      </c>
      <c r="C337">
        <v>4</v>
      </c>
    </row>
    <row r="338" spans="1:3">
      <c r="A338" t="s">
        <v>269</v>
      </c>
      <c r="B338">
        <v>1</v>
      </c>
      <c r="C338">
        <v>0</v>
      </c>
    </row>
    <row r="339" spans="1:3">
      <c r="A339" t="s">
        <v>269</v>
      </c>
      <c r="B339">
        <v>2</v>
      </c>
      <c r="C339">
        <v>0</v>
      </c>
    </row>
    <row r="340" spans="1:3">
      <c r="A340" t="s">
        <v>269</v>
      </c>
      <c r="B340">
        <v>3</v>
      </c>
      <c r="C340">
        <v>0</v>
      </c>
    </row>
    <row r="341" spans="1:3">
      <c r="A341" t="s">
        <v>269</v>
      </c>
      <c r="B341">
        <v>4</v>
      </c>
      <c r="C341">
        <v>6</v>
      </c>
    </row>
    <row r="342" spans="1:3">
      <c r="A342" t="s">
        <v>269</v>
      </c>
      <c r="B342">
        <v>5</v>
      </c>
      <c r="C342">
        <v>10</v>
      </c>
    </row>
    <row r="343" spans="1:3">
      <c r="A343" t="s">
        <v>269</v>
      </c>
      <c r="B343">
        <v>6</v>
      </c>
      <c r="C343">
        <v>9</v>
      </c>
    </row>
    <row r="344" spans="1:3">
      <c r="A344" t="s">
        <v>269</v>
      </c>
      <c r="B344">
        <v>7</v>
      </c>
      <c r="C344">
        <v>28</v>
      </c>
    </row>
    <row r="345" spans="1:3">
      <c r="A345" t="s">
        <v>269</v>
      </c>
      <c r="B345">
        <v>8</v>
      </c>
      <c r="C345">
        <v>21</v>
      </c>
    </row>
    <row r="346" spans="1:3">
      <c r="A346" t="s">
        <v>269</v>
      </c>
      <c r="B346">
        <v>9</v>
      </c>
      <c r="C346">
        <v>13</v>
      </c>
    </row>
    <row r="347" spans="1:3">
      <c r="A347" t="s">
        <v>269</v>
      </c>
      <c r="B347">
        <v>10</v>
      </c>
      <c r="C347">
        <v>13</v>
      </c>
    </row>
    <row r="348" spans="1:3">
      <c r="A348" t="s">
        <v>269</v>
      </c>
      <c r="B348">
        <v>11</v>
      </c>
      <c r="C348">
        <v>13</v>
      </c>
    </row>
    <row r="349" spans="1:3">
      <c r="A349" t="s">
        <v>269</v>
      </c>
      <c r="B349">
        <v>12</v>
      </c>
      <c r="C349">
        <v>14</v>
      </c>
    </row>
    <row r="350" spans="1:3">
      <c r="A350" t="s">
        <v>269</v>
      </c>
      <c r="B350">
        <v>13</v>
      </c>
      <c r="C350">
        <v>28</v>
      </c>
    </row>
    <row r="351" spans="1:3">
      <c r="A351" t="s">
        <v>269</v>
      </c>
      <c r="B351">
        <v>14</v>
      </c>
      <c r="C351">
        <v>30</v>
      </c>
    </row>
    <row r="352" spans="1:3">
      <c r="A352" t="s">
        <v>269</v>
      </c>
      <c r="B352">
        <v>15</v>
      </c>
      <c r="C352">
        <v>26</v>
      </c>
    </row>
    <row r="353" spans="1:3">
      <c r="A353" t="s">
        <v>269</v>
      </c>
      <c r="B353">
        <v>16</v>
      </c>
      <c r="C353">
        <v>19</v>
      </c>
    </row>
    <row r="354" spans="1:3">
      <c r="A354" t="s">
        <v>269</v>
      </c>
      <c r="B354">
        <v>17</v>
      </c>
      <c r="C354">
        <v>17</v>
      </c>
    </row>
    <row r="355" spans="1:3">
      <c r="A355" t="s">
        <v>269</v>
      </c>
      <c r="B355">
        <v>18</v>
      </c>
      <c r="C355">
        <v>16</v>
      </c>
    </row>
    <row r="356" spans="1:3">
      <c r="A356" t="s">
        <v>269</v>
      </c>
      <c r="B356">
        <v>19</v>
      </c>
      <c r="C356">
        <v>10</v>
      </c>
    </row>
    <row r="357" spans="1:3">
      <c r="A357" t="s">
        <v>269</v>
      </c>
      <c r="B357">
        <v>20</v>
      </c>
      <c r="C357">
        <v>9</v>
      </c>
    </row>
    <row r="358" spans="1:3">
      <c r="A358" t="s">
        <v>269</v>
      </c>
      <c r="B358">
        <v>21</v>
      </c>
      <c r="C358">
        <v>10</v>
      </c>
    </row>
    <row r="359" spans="1:3">
      <c r="A359" t="s">
        <v>269</v>
      </c>
      <c r="B359">
        <v>22</v>
      </c>
      <c r="C359">
        <v>7</v>
      </c>
    </row>
    <row r="360" spans="1:3">
      <c r="A360" t="s">
        <v>269</v>
      </c>
      <c r="B360">
        <v>23</v>
      </c>
      <c r="C360">
        <v>4</v>
      </c>
    </row>
    <row r="361" spans="1:3">
      <c r="A361" t="s">
        <v>269</v>
      </c>
      <c r="B361">
        <v>24</v>
      </c>
      <c r="C361">
        <v>2</v>
      </c>
    </row>
    <row r="362" spans="1:3">
      <c r="A362" t="s">
        <v>262</v>
      </c>
      <c r="B362">
        <v>1</v>
      </c>
      <c r="C362">
        <v>0</v>
      </c>
    </row>
    <row r="363" spans="1:3">
      <c r="A363" t="s">
        <v>262</v>
      </c>
      <c r="B363">
        <v>2</v>
      </c>
      <c r="C363">
        <v>0</v>
      </c>
    </row>
    <row r="364" spans="1:3">
      <c r="A364" t="s">
        <v>262</v>
      </c>
      <c r="B364">
        <v>3</v>
      </c>
      <c r="C364">
        <v>0</v>
      </c>
    </row>
    <row r="365" spans="1:3">
      <c r="A365" t="s">
        <v>262</v>
      </c>
      <c r="B365">
        <v>4</v>
      </c>
      <c r="C365">
        <v>3</v>
      </c>
    </row>
    <row r="366" spans="1:3">
      <c r="A366" t="s">
        <v>262</v>
      </c>
      <c r="B366">
        <v>5</v>
      </c>
      <c r="C366">
        <v>17</v>
      </c>
    </row>
    <row r="367" spans="1:3">
      <c r="A367" t="s">
        <v>262</v>
      </c>
      <c r="B367">
        <v>6</v>
      </c>
      <c r="C367">
        <v>23</v>
      </c>
    </row>
    <row r="368" spans="1:3">
      <c r="A368" t="s">
        <v>262</v>
      </c>
      <c r="B368">
        <v>7</v>
      </c>
      <c r="C368">
        <v>33</v>
      </c>
    </row>
    <row r="369" spans="1:3">
      <c r="A369" t="s">
        <v>262</v>
      </c>
      <c r="B369">
        <v>8</v>
      </c>
      <c r="C369">
        <v>27</v>
      </c>
    </row>
    <row r="370" spans="1:3">
      <c r="A370" t="s">
        <v>262</v>
      </c>
      <c r="B370">
        <v>9</v>
      </c>
      <c r="C370">
        <v>28</v>
      </c>
    </row>
    <row r="371" spans="1:3">
      <c r="A371" t="s">
        <v>262</v>
      </c>
      <c r="B371">
        <v>10</v>
      </c>
      <c r="C371">
        <v>15</v>
      </c>
    </row>
    <row r="372" spans="1:3">
      <c r="A372" t="s">
        <v>262</v>
      </c>
      <c r="B372">
        <v>11</v>
      </c>
      <c r="C372">
        <v>18</v>
      </c>
    </row>
    <row r="373" spans="1:3">
      <c r="A373" t="s">
        <v>262</v>
      </c>
      <c r="B373">
        <v>12</v>
      </c>
      <c r="C373">
        <v>17</v>
      </c>
    </row>
    <row r="374" spans="1:3">
      <c r="A374" t="s">
        <v>262</v>
      </c>
      <c r="B374">
        <v>13</v>
      </c>
      <c r="C374">
        <v>21</v>
      </c>
    </row>
    <row r="375" spans="1:3">
      <c r="A375" t="s">
        <v>262</v>
      </c>
      <c r="B375">
        <v>14</v>
      </c>
      <c r="C375">
        <v>22</v>
      </c>
    </row>
    <row r="376" spans="1:3">
      <c r="A376" t="s">
        <v>262</v>
      </c>
      <c r="B376">
        <v>15</v>
      </c>
      <c r="C376">
        <v>20</v>
      </c>
    </row>
    <row r="377" spans="1:3">
      <c r="A377" t="s">
        <v>262</v>
      </c>
      <c r="B377">
        <v>16</v>
      </c>
      <c r="C377">
        <v>22</v>
      </c>
    </row>
    <row r="378" spans="1:3">
      <c r="A378" t="s">
        <v>262</v>
      </c>
      <c r="B378">
        <v>17</v>
      </c>
      <c r="C378">
        <v>22</v>
      </c>
    </row>
    <row r="379" spans="1:3">
      <c r="A379" t="s">
        <v>262</v>
      </c>
      <c r="B379">
        <v>18</v>
      </c>
      <c r="C379">
        <v>17</v>
      </c>
    </row>
    <row r="380" spans="1:3">
      <c r="A380" t="s">
        <v>262</v>
      </c>
      <c r="B380">
        <v>19</v>
      </c>
      <c r="C380">
        <v>17</v>
      </c>
    </row>
    <row r="381" spans="1:3">
      <c r="A381" t="s">
        <v>262</v>
      </c>
      <c r="B381">
        <v>20</v>
      </c>
      <c r="C381">
        <v>18</v>
      </c>
    </row>
    <row r="382" spans="1:3">
      <c r="A382" t="s">
        <v>262</v>
      </c>
      <c r="B382">
        <v>21</v>
      </c>
      <c r="C382">
        <v>12</v>
      </c>
    </row>
    <row r="383" spans="1:3">
      <c r="A383" t="s">
        <v>262</v>
      </c>
      <c r="B383">
        <v>22</v>
      </c>
      <c r="C383">
        <v>11</v>
      </c>
    </row>
    <row r="384" spans="1:3">
      <c r="A384" t="s">
        <v>262</v>
      </c>
      <c r="B384">
        <v>23</v>
      </c>
      <c r="C384">
        <v>6</v>
      </c>
    </row>
    <row r="385" spans="1:3">
      <c r="A385" t="s">
        <v>262</v>
      </c>
      <c r="B385">
        <v>24</v>
      </c>
      <c r="C385">
        <v>0</v>
      </c>
    </row>
    <row r="386" spans="1:3">
      <c r="A386" t="s">
        <v>241</v>
      </c>
      <c r="B386">
        <v>1</v>
      </c>
      <c r="C386">
        <v>0</v>
      </c>
    </row>
    <row r="387" spans="1:3">
      <c r="A387" t="s">
        <v>241</v>
      </c>
      <c r="B387">
        <v>2</v>
      </c>
      <c r="C387">
        <v>0</v>
      </c>
    </row>
    <row r="388" spans="1:3">
      <c r="A388" t="s">
        <v>241</v>
      </c>
      <c r="B388">
        <v>3</v>
      </c>
      <c r="C388">
        <v>0</v>
      </c>
    </row>
    <row r="389" spans="1:3">
      <c r="A389" t="s">
        <v>241</v>
      </c>
      <c r="B389">
        <v>4</v>
      </c>
      <c r="C389">
        <v>15</v>
      </c>
    </row>
    <row r="390" spans="1:3">
      <c r="A390" t="s">
        <v>241</v>
      </c>
      <c r="B390">
        <v>5</v>
      </c>
      <c r="C390">
        <v>18</v>
      </c>
    </row>
    <row r="391" spans="1:3">
      <c r="A391" t="s">
        <v>241</v>
      </c>
      <c r="B391">
        <v>6</v>
      </c>
      <c r="C391">
        <v>26</v>
      </c>
    </row>
    <row r="392" spans="1:3">
      <c r="A392" t="s">
        <v>241</v>
      </c>
      <c r="B392">
        <v>7</v>
      </c>
      <c r="C392">
        <v>41</v>
      </c>
    </row>
    <row r="393" spans="1:3">
      <c r="A393" t="s">
        <v>241</v>
      </c>
      <c r="B393">
        <v>8</v>
      </c>
      <c r="C393">
        <v>27</v>
      </c>
    </row>
    <row r="394" spans="1:3">
      <c r="A394" t="s">
        <v>241</v>
      </c>
      <c r="B394">
        <v>9</v>
      </c>
      <c r="C394">
        <v>37</v>
      </c>
    </row>
    <row r="395" spans="1:3">
      <c r="A395" t="s">
        <v>241</v>
      </c>
      <c r="B395">
        <v>10</v>
      </c>
      <c r="C395">
        <v>33</v>
      </c>
    </row>
    <row r="396" spans="1:3">
      <c r="A396" t="s">
        <v>241</v>
      </c>
      <c r="B396">
        <v>11</v>
      </c>
      <c r="C396">
        <v>52</v>
      </c>
    </row>
    <row r="397" spans="1:3">
      <c r="A397" t="s">
        <v>241</v>
      </c>
      <c r="B397">
        <v>12</v>
      </c>
      <c r="C397">
        <v>39</v>
      </c>
    </row>
    <row r="398" spans="1:3">
      <c r="A398" t="s">
        <v>241</v>
      </c>
      <c r="B398">
        <v>13</v>
      </c>
      <c r="C398">
        <v>34</v>
      </c>
    </row>
    <row r="399" spans="1:3">
      <c r="A399" t="s">
        <v>241</v>
      </c>
      <c r="B399">
        <v>14</v>
      </c>
      <c r="C399">
        <v>46</v>
      </c>
    </row>
    <row r="400" spans="1:3">
      <c r="A400" t="s">
        <v>241</v>
      </c>
      <c r="B400">
        <v>15</v>
      </c>
      <c r="C400">
        <v>41</v>
      </c>
    </row>
    <row r="401" spans="1:3">
      <c r="A401" t="s">
        <v>241</v>
      </c>
      <c r="B401">
        <v>16</v>
      </c>
      <c r="C401">
        <v>25</v>
      </c>
    </row>
    <row r="402" spans="1:3">
      <c r="A402" t="s">
        <v>241</v>
      </c>
      <c r="B402">
        <v>17</v>
      </c>
      <c r="C402">
        <v>23</v>
      </c>
    </row>
    <row r="403" spans="1:3">
      <c r="A403" t="s">
        <v>241</v>
      </c>
      <c r="B403">
        <v>18</v>
      </c>
      <c r="C403">
        <v>24</v>
      </c>
    </row>
    <row r="404" spans="1:3">
      <c r="A404" t="s">
        <v>241</v>
      </c>
      <c r="B404">
        <v>19</v>
      </c>
      <c r="C404">
        <v>19</v>
      </c>
    </row>
    <row r="405" spans="1:3">
      <c r="A405" t="s">
        <v>241</v>
      </c>
      <c r="B405">
        <v>20</v>
      </c>
      <c r="C405">
        <v>16</v>
      </c>
    </row>
    <row r="406" spans="1:3">
      <c r="A406" t="s">
        <v>241</v>
      </c>
      <c r="B406">
        <v>21</v>
      </c>
      <c r="C406">
        <v>14</v>
      </c>
    </row>
    <row r="407" spans="1:3">
      <c r="A407" t="s">
        <v>241</v>
      </c>
      <c r="B407">
        <v>22</v>
      </c>
      <c r="C407">
        <v>12</v>
      </c>
    </row>
    <row r="408" spans="1:3">
      <c r="A408" t="s">
        <v>241</v>
      </c>
      <c r="B408">
        <v>23</v>
      </c>
      <c r="C408">
        <v>5</v>
      </c>
    </row>
    <row r="409" spans="1:3">
      <c r="A409" t="s">
        <v>241</v>
      </c>
      <c r="B409">
        <v>24</v>
      </c>
      <c r="C409">
        <v>0</v>
      </c>
    </row>
    <row r="410" spans="1:3">
      <c r="A410" t="s">
        <v>268</v>
      </c>
      <c r="B410">
        <v>1</v>
      </c>
      <c r="C410">
        <v>0</v>
      </c>
    </row>
    <row r="411" spans="1:3">
      <c r="A411" t="s">
        <v>268</v>
      </c>
      <c r="B411">
        <v>2</v>
      </c>
      <c r="C411">
        <v>0</v>
      </c>
    </row>
    <row r="412" spans="1:3">
      <c r="A412" t="s">
        <v>268</v>
      </c>
      <c r="B412">
        <v>3</v>
      </c>
      <c r="C412">
        <v>0</v>
      </c>
    </row>
    <row r="413" spans="1:3">
      <c r="A413" t="s">
        <v>268</v>
      </c>
      <c r="B413">
        <v>4</v>
      </c>
      <c r="C413">
        <v>2</v>
      </c>
    </row>
    <row r="414" spans="1:3">
      <c r="A414" t="s">
        <v>268</v>
      </c>
      <c r="B414">
        <v>5</v>
      </c>
      <c r="C414">
        <v>14</v>
      </c>
    </row>
    <row r="415" spans="1:3">
      <c r="A415" t="s">
        <v>268</v>
      </c>
      <c r="B415">
        <v>6</v>
      </c>
      <c r="C415">
        <v>15</v>
      </c>
    </row>
    <row r="416" spans="1:3">
      <c r="A416" t="s">
        <v>268</v>
      </c>
      <c r="B416">
        <v>7</v>
      </c>
      <c r="C416">
        <v>18</v>
      </c>
    </row>
    <row r="417" spans="1:3">
      <c r="A417" t="s">
        <v>268</v>
      </c>
      <c r="B417">
        <v>8</v>
      </c>
      <c r="C417">
        <v>29</v>
      </c>
    </row>
    <row r="418" spans="1:3">
      <c r="A418" t="s">
        <v>268</v>
      </c>
      <c r="B418">
        <v>9</v>
      </c>
      <c r="C418">
        <v>14</v>
      </c>
    </row>
    <row r="419" spans="1:3">
      <c r="A419" t="s">
        <v>268</v>
      </c>
      <c r="B419">
        <v>10</v>
      </c>
      <c r="C419">
        <v>13</v>
      </c>
    </row>
    <row r="420" spans="1:3">
      <c r="A420" t="s">
        <v>268</v>
      </c>
      <c r="B420">
        <v>11</v>
      </c>
      <c r="C420">
        <v>13</v>
      </c>
    </row>
    <row r="421" spans="1:3">
      <c r="A421" t="s">
        <v>268</v>
      </c>
      <c r="B421">
        <v>12</v>
      </c>
      <c r="C421">
        <v>18</v>
      </c>
    </row>
    <row r="422" spans="1:3">
      <c r="A422" t="s">
        <v>268</v>
      </c>
      <c r="B422">
        <v>13</v>
      </c>
      <c r="C422">
        <v>15</v>
      </c>
    </row>
    <row r="423" spans="1:3">
      <c r="A423" t="s">
        <v>268</v>
      </c>
      <c r="B423">
        <v>14</v>
      </c>
      <c r="C423">
        <v>18</v>
      </c>
    </row>
    <row r="424" spans="1:3">
      <c r="A424" t="s">
        <v>268</v>
      </c>
      <c r="B424">
        <v>15</v>
      </c>
      <c r="C424">
        <v>31</v>
      </c>
    </row>
    <row r="425" spans="1:3">
      <c r="A425" t="s">
        <v>268</v>
      </c>
      <c r="B425">
        <v>16</v>
      </c>
      <c r="C425">
        <v>18</v>
      </c>
    </row>
    <row r="426" spans="1:3">
      <c r="A426" t="s">
        <v>268</v>
      </c>
      <c r="B426">
        <v>17</v>
      </c>
      <c r="C426">
        <v>20</v>
      </c>
    </row>
    <row r="427" spans="1:3">
      <c r="A427" t="s">
        <v>268</v>
      </c>
      <c r="B427">
        <v>18</v>
      </c>
      <c r="C427">
        <v>12</v>
      </c>
    </row>
    <row r="428" spans="1:3">
      <c r="A428" t="s">
        <v>268</v>
      </c>
      <c r="B428">
        <v>19</v>
      </c>
      <c r="C428">
        <v>11</v>
      </c>
    </row>
    <row r="429" spans="1:3">
      <c r="A429" t="s">
        <v>268</v>
      </c>
      <c r="B429">
        <v>20</v>
      </c>
      <c r="C429">
        <v>8</v>
      </c>
    </row>
    <row r="430" spans="1:3">
      <c r="A430" t="s">
        <v>268</v>
      </c>
      <c r="B430">
        <v>21</v>
      </c>
      <c r="C430">
        <v>7</v>
      </c>
    </row>
    <row r="431" spans="1:3">
      <c r="A431" t="s">
        <v>268</v>
      </c>
      <c r="B431">
        <v>22</v>
      </c>
      <c r="C431">
        <v>10</v>
      </c>
    </row>
    <row r="432" spans="1:3">
      <c r="A432" t="s">
        <v>268</v>
      </c>
      <c r="B432">
        <v>23</v>
      </c>
      <c r="C432">
        <v>7</v>
      </c>
    </row>
    <row r="433" spans="1:3">
      <c r="A433" t="s">
        <v>268</v>
      </c>
      <c r="B433">
        <v>24</v>
      </c>
      <c r="C433">
        <v>3</v>
      </c>
    </row>
    <row r="434" spans="1:3">
      <c r="A434" t="s">
        <v>187</v>
      </c>
      <c r="B434">
        <v>1</v>
      </c>
      <c r="C434">
        <v>0</v>
      </c>
    </row>
    <row r="435" spans="1:3">
      <c r="A435" t="s">
        <v>187</v>
      </c>
      <c r="B435">
        <v>2</v>
      </c>
      <c r="C435">
        <v>0</v>
      </c>
    </row>
    <row r="436" spans="1:3">
      <c r="A436" t="s">
        <v>187</v>
      </c>
      <c r="B436">
        <v>3</v>
      </c>
      <c r="C436">
        <v>0</v>
      </c>
    </row>
    <row r="437" spans="1:3">
      <c r="A437" t="s">
        <v>187</v>
      </c>
      <c r="B437">
        <v>4</v>
      </c>
      <c r="C437">
        <v>13</v>
      </c>
    </row>
    <row r="438" spans="1:3">
      <c r="A438" t="s">
        <v>187</v>
      </c>
      <c r="B438">
        <v>5</v>
      </c>
      <c r="C438">
        <v>43</v>
      </c>
    </row>
    <row r="439" spans="1:3">
      <c r="A439" t="s">
        <v>187</v>
      </c>
      <c r="B439">
        <v>6</v>
      </c>
      <c r="C439">
        <v>67</v>
      </c>
    </row>
    <row r="440" spans="1:3">
      <c r="A440" t="s">
        <v>187</v>
      </c>
      <c r="B440">
        <v>7</v>
      </c>
      <c r="C440">
        <v>70</v>
      </c>
    </row>
    <row r="441" spans="1:3">
      <c r="A441" t="s">
        <v>187</v>
      </c>
      <c r="B441">
        <v>8</v>
      </c>
      <c r="C441">
        <v>81</v>
      </c>
    </row>
    <row r="442" spans="1:3">
      <c r="A442" t="s">
        <v>187</v>
      </c>
      <c r="B442">
        <v>9</v>
      </c>
      <c r="C442">
        <v>91</v>
      </c>
    </row>
    <row r="443" spans="1:3">
      <c r="A443" t="s">
        <v>187</v>
      </c>
      <c r="B443">
        <v>10</v>
      </c>
      <c r="C443">
        <v>56</v>
      </c>
    </row>
    <row r="444" spans="1:3">
      <c r="A444" t="s">
        <v>187</v>
      </c>
      <c r="B444">
        <v>11</v>
      </c>
      <c r="C444">
        <v>52</v>
      </c>
    </row>
    <row r="445" spans="1:3">
      <c r="A445" t="s">
        <v>187</v>
      </c>
      <c r="B445">
        <v>12</v>
      </c>
      <c r="C445">
        <v>55</v>
      </c>
    </row>
    <row r="446" spans="1:3">
      <c r="A446" t="s">
        <v>187</v>
      </c>
      <c r="B446">
        <v>13</v>
      </c>
      <c r="C446">
        <v>62</v>
      </c>
    </row>
    <row r="447" spans="1:3">
      <c r="A447" t="s">
        <v>187</v>
      </c>
      <c r="B447">
        <v>14</v>
      </c>
      <c r="C447">
        <v>91</v>
      </c>
    </row>
    <row r="448" spans="1:3">
      <c r="A448" t="s">
        <v>187</v>
      </c>
      <c r="B448">
        <v>15</v>
      </c>
      <c r="C448">
        <v>70</v>
      </c>
    </row>
    <row r="449" spans="1:3">
      <c r="A449" t="s">
        <v>187</v>
      </c>
      <c r="B449">
        <v>16</v>
      </c>
      <c r="C449">
        <v>64</v>
      </c>
    </row>
    <row r="450" spans="1:3">
      <c r="A450" t="s">
        <v>187</v>
      </c>
      <c r="B450">
        <v>17</v>
      </c>
      <c r="C450">
        <v>57</v>
      </c>
    </row>
    <row r="451" spans="1:3">
      <c r="A451" t="s">
        <v>187</v>
      </c>
      <c r="B451">
        <v>18</v>
      </c>
      <c r="C451">
        <v>71</v>
      </c>
    </row>
    <row r="452" spans="1:3">
      <c r="A452" t="s">
        <v>187</v>
      </c>
      <c r="B452">
        <v>19</v>
      </c>
      <c r="C452">
        <v>53</v>
      </c>
    </row>
    <row r="453" spans="1:3">
      <c r="A453" t="s">
        <v>187</v>
      </c>
      <c r="B453">
        <v>20</v>
      </c>
      <c r="C453">
        <v>44</v>
      </c>
    </row>
    <row r="454" spans="1:3">
      <c r="A454" t="s">
        <v>187</v>
      </c>
      <c r="B454">
        <v>21</v>
      </c>
      <c r="C454">
        <v>35</v>
      </c>
    </row>
    <row r="455" spans="1:3">
      <c r="A455" t="s">
        <v>187</v>
      </c>
      <c r="B455">
        <v>22</v>
      </c>
      <c r="C455">
        <v>28</v>
      </c>
    </row>
    <row r="456" spans="1:3">
      <c r="A456" t="s">
        <v>187</v>
      </c>
      <c r="B456">
        <v>23</v>
      </c>
      <c r="C456">
        <v>28</v>
      </c>
    </row>
    <row r="457" spans="1:3">
      <c r="A457" t="s">
        <v>187</v>
      </c>
      <c r="B457">
        <v>24</v>
      </c>
      <c r="C457">
        <v>8</v>
      </c>
    </row>
    <row r="458" spans="1:3">
      <c r="A458" t="s">
        <v>239</v>
      </c>
      <c r="B458">
        <v>1</v>
      </c>
      <c r="C458">
        <v>0</v>
      </c>
    </row>
    <row r="459" spans="1:3">
      <c r="A459" t="s">
        <v>239</v>
      </c>
      <c r="B459">
        <v>2</v>
      </c>
      <c r="C459">
        <v>0</v>
      </c>
    </row>
    <row r="460" spans="1:3">
      <c r="A460" t="s">
        <v>239</v>
      </c>
      <c r="B460">
        <v>3</v>
      </c>
      <c r="C460">
        <v>0</v>
      </c>
    </row>
    <row r="461" spans="1:3">
      <c r="A461" t="s">
        <v>239</v>
      </c>
      <c r="B461">
        <v>4</v>
      </c>
      <c r="C461">
        <v>14</v>
      </c>
    </row>
    <row r="462" spans="1:3">
      <c r="A462" t="s">
        <v>239</v>
      </c>
      <c r="B462">
        <v>5</v>
      </c>
      <c r="C462">
        <v>18</v>
      </c>
    </row>
    <row r="463" spans="1:3">
      <c r="A463" t="s">
        <v>239</v>
      </c>
      <c r="B463">
        <v>6</v>
      </c>
      <c r="C463">
        <v>38</v>
      </c>
    </row>
    <row r="464" spans="1:3">
      <c r="A464" t="s">
        <v>239</v>
      </c>
      <c r="B464">
        <v>7</v>
      </c>
      <c r="C464">
        <v>45</v>
      </c>
    </row>
    <row r="465" spans="1:3">
      <c r="A465" t="s">
        <v>239</v>
      </c>
      <c r="B465">
        <v>8</v>
      </c>
      <c r="C465">
        <v>46</v>
      </c>
    </row>
    <row r="466" spans="1:3">
      <c r="A466" t="s">
        <v>239</v>
      </c>
      <c r="B466">
        <v>9</v>
      </c>
      <c r="C466">
        <v>33</v>
      </c>
    </row>
    <row r="467" spans="1:3">
      <c r="A467" t="s">
        <v>239</v>
      </c>
      <c r="B467">
        <v>10</v>
      </c>
      <c r="C467">
        <v>41</v>
      </c>
    </row>
    <row r="468" spans="1:3">
      <c r="A468" t="s">
        <v>239</v>
      </c>
      <c r="B468">
        <v>11</v>
      </c>
      <c r="C468">
        <v>31</v>
      </c>
    </row>
    <row r="469" spans="1:3">
      <c r="A469" t="s">
        <v>239</v>
      </c>
      <c r="B469">
        <v>12</v>
      </c>
      <c r="C469">
        <v>44</v>
      </c>
    </row>
    <row r="470" spans="1:3">
      <c r="A470" t="s">
        <v>239</v>
      </c>
      <c r="B470">
        <v>13</v>
      </c>
      <c r="C470">
        <v>37</v>
      </c>
    </row>
    <row r="471" spans="1:3">
      <c r="A471" t="s">
        <v>239</v>
      </c>
      <c r="B471">
        <v>14</v>
      </c>
      <c r="C471">
        <v>53</v>
      </c>
    </row>
    <row r="472" spans="1:3">
      <c r="A472" t="s">
        <v>239</v>
      </c>
      <c r="B472">
        <v>15</v>
      </c>
      <c r="C472">
        <v>53</v>
      </c>
    </row>
    <row r="473" spans="1:3">
      <c r="A473" t="s">
        <v>239</v>
      </c>
      <c r="B473">
        <v>16</v>
      </c>
      <c r="C473">
        <v>44</v>
      </c>
    </row>
    <row r="474" spans="1:3">
      <c r="A474" t="s">
        <v>239</v>
      </c>
      <c r="B474">
        <v>17</v>
      </c>
      <c r="C474">
        <v>41</v>
      </c>
    </row>
    <row r="475" spans="1:3">
      <c r="A475" t="s">
        <v>239</v>
      </c>
      <c r="B475">
        <v>18</v>
      </c>
      <c r="C475">
        <v>42</v>
      </c>
    </row>
    <row r="476" spans="1:3">
      <c r="A476" t="s">
        <v>239</v>
      </c>
      <c r="B476">
        <v>19</v>
      </c>
      <c r="C476">
        <v>37</v>
      </c>
    </row>
    <row r="477" spans="1:3">
      <c r="A477" t="s">
        <v>239</v>
      </c>
      <c r="B477">
        <v>20</v>
      </c>
      <c r="C477">
        <v>29</v>
      </c>
    </row>
    <row r="478" spans="1:3">
      <c r="A478" t="s">
        <v>239</v>
      </c>
      <c r="B478">
        <v>21</v>
      </c>
      <c r="C478">
        <v>23</v>
      </c>
    </row>
    <row r="479" spans="1:3">
      <c r="A479" t="s">
        <v>239</v>
      </c>
      <c r="B479">
        <v>22</v>
      </c>
      <c r="C479">
        <v>26</v>
      </c>
    </row>
    <row r="480" spans="1:3">
      <c r="A480" t="s">
        <v>239</v>
      </c>
      <c r="B480">
        <v>23</v>
      </c>
      <c r="C480">
        <v>17</v>
      </c>
    </row>
    <row r="481" spans="1:3">
      <c r="A481" t="s">
        <v>239</v>
      </c>
      <c r="B481">
        <v>24</v>
      </c>
      <c r="C481">
        <v>2</v>
      </c>
    </row>
    <row r="482" spans="1:3">
      <c r="A482" t="s">
        <v>219</v>
      </c>
      <c r="B482">
        <v>1</v>
      </c>
      <c r="C482">
        <v>0</v>
      </c>
    </row>
    <row r="483" spans="1:3">
      <c r="A483" t="s">
        <v>219</v>
      </c>
      <c r="B483">
        <v>2</v>
      </c>
      <c r="C483">
        <v>0</v>
      </c>
    </row>
    <row r="484" spans="1:3">
      <c r="A484" t="s">
        <v>219</v>
      </c>
      <c r="B484">
        <v>3</v>
      </c>
      <c r="C484">
        <v>0</v>
      </c>
    </row>
    <row r="485" spans="1:3">
      <c r="A485" t="s">
        <v>219</v>
      </c>
      <c r="B485">
        <v>4</v>
      </c>
      <c r="C485">
        <v>25</v>
      </c>
    </row>
    <row r="486" spans="1:3">
      <c r="A486" t="s">
        <v>219</v>
      </c>
      <c r="B486">
        <v>5</v>
      </c>
      <c r="C486">
        <v>43</v>
      </c>
    </row>
    <row r="487" spans="1:3">
      <c r="A487" t="s">
        <v>219</v>
      </c>
      <c r="B487">
        <v>6</v>
      </c>
      <c r="C487">
        <v>61</v>
      </c>
    </row>
    <row r="488" spans="1:3">
      <c r="A488" t="s">
        <v>219</v>
      </c>
      <c r="B488">
        <v>7</v>
      </c>
      <c r="C488">
        <v>69</v>
      </c>
    </row>
    <row r="489" spans="1:3">
      <c r="A489" t="s">
        <v>219</v>
      </c>
      <c r="B489">
        <v>8</v>
      </c>
      <c r="C489">
        <v>68</v>
      </c>
    </row>
    <row r="490" spans="1:3">
      <c r="A490" t="s">
        <v>219</v>
      </c>
      <c r="B490">
        <v>9</v>
      </c>
      <c r="C490">
        <v>48</v>
      </c>
    </row>
    <row r="491" spans="1:3">
      <c r="A491" t="s">
        <v>219</v>
      </c>
      <c r="B491">
        <v>10</v>
      </c>
      <c r="C491">
        <v>56</v>
      </c>
    </row>
    <row r="492" spans="1:3">
      <c r="A492" t="s">
        <v>219</v>
      </c>
      <c r="B492">
        <v>11</v>
      </c>
      <c r="C492">
        <v>54</v>
      </c>
    </row>
    <row r="493" spans="1:3">
      <c r="A493" t="s">
        <v>219</v>
      </c>
      <c r="B493">
        <v>12</v>
      </c>
      <c r="C493">
        <v>69</v>
      </c>
    </row>
    <row r="494" spans="1:3">
      <c r="A494" t="s">
        <v>219</v>
      </c>
      <c r="B494">
        <v>13</v>
      </c>
      <c r="C494">
        <v>73</v>
      </c>
    </row>
    <row r="495" spans="1:3">
      <c r="A495" t="s">
        <v>219</v>
      </c>
      <c r="B495">
        <v>14</v>
      </c>
      <c r="C495">
        <v>65</v>
      </c>
    </row>
    <row r="496" spans="1:3">
      <c r="A496" t="s">
        <v>219</v>
      </c>
      <c r="B496">
        <v>15</v>
      </c>
      <c r="C496">
        <v>72</v>
      </c>
    </row>
    <row r="497" spans="1:3">
      <c r="A497" t="s">
        <v>219</v>
      </c>
      <c r="B497">
        <v>16</v>
      </c>
      <c r="C497">
        <v>66</v>
      </c>
    </row>
    <row r="498" spans="1:3">
      <c r="A498" t="s">
        <v>219</v>
      </c>
      <c r="B498">
        <v>17</v>
      </c>
      <c r="C498">
        <v>51</v>
      </c>
    </row>
    <row r="499" spans="1:3">
      <c r="A499" t="s">
        <v>219</v>
      </c>
      <c r="B499">
        <v>18</v>
      </c>
      <c r="C499">
        <v>44</v>
      </c>
    </row>
    <row r="500" spans="1:3">
      <c r="A500" t="s">
        <v>219</v>
      </c>
      <c r="B500">
        <v>19</v>
      </c>
      <c r="C500">
        <v>59</v>
      </c>
    </row>
    <row r="501" spans="1:3">
      <c r="A501" t="s">
        <v>219</v>
      </c>
      <c r="B501">
        <v>20</v>
      </c>
      <c r="C501">
        <v>40</v>
      </c>
    </row>
    <row r="502" spans="1:3">
      <c r="A502" t="s">
        <v>219</v>
      </c>
      <c r="B502">
        <v>21</v>
      </c>
      <c r="C502">
        <v>25</v>
      </c>
    </row>
    <row r="503" spans="1:3">
      <c r="A503" t="s">
        <v>219</v>
      </c>
      <c r="B503">
        <v>22</v>
      </c>
      <c r="C503">
        <v>73</v>
      </c>
    </row>
    <row r="504" spans="1:3">
      <c r="A504" t="s">
        <v>219</v>
      </c>
      <c r="B504">
        <v>23</v>
      </c>
      <c r="C504">
        <v>32</v>
      </c>
    </row>
    <row r="505" spans="1:3">
      <c r="A505" t="s">
        <v>219</v>
      </c>
      <c r="B505">
        <v>24</v>
      </c>
      <c r="C505">
        <v>5</v>
      </c>
    </row>
    <row r="506" spans="1:3">
      <c r="A506" t="s">
        <v>220</v>
      </c>
      <c r="B506">
        <v>1</v>
      </c>
      <c r="C506">
        <v>0</v>
      </c>
    </row>
    <row r="507" spans="1:3">
      <c r="A507" t="s">
        <v>220</v>
      </c>
      <c r="B507">
        <v>2</v>
      </c>
      <c r="C507">
        <v>0</v>
      </c>
    </row>
    <row r="508" spans="1:3">
      <c r="A508" t="s">
        <v>220</v>
      </c>
      <c r="B508">
        <v>3</v>
      </c>
      <c r="C508">
        <v>2</v>
      </c>
    </row>
    <row r="509" spans="1:3">
      <c r="A509" t="s">
        <v>220</v>
      </c>
      <c r="B509">
        <v>4</v>
      </c>
      <c r="C509">
        <v>17</v>
      </c>
    </row>
    <row r="510" spans="1:3">
      <c r="A510" t="s">
        <v>220</v>
      </c>
      <c r="B510">
        <v>5</v>
      </c>
      <c r="C510">
        <v>48</v>
      </c>
    </row>
    <row r="511" spans="1:3">
      <c r="A511" t="s">
        <v>220</v>
      </c>
      <c r="B511">
        <v>6</v>
      </c>
      <c r="C511">
        <v>73</v>
      </c>
    </row>
    <row r="512" spans="1:3">
      <c r="A512" t="s">
        <v>220</v>
      </c>
      <c r="B512">
        <v>7</v>
      </c>
      <c r="C512">
        <v>73</v>
      </c>
    </row>
    <row r="513" spans="1:3">
      <c r="A513" t="s">
        <v>220</v>
      </c>
      <c r="B513">
        <v>8</v>
      </c>
      <c r="C513">
        <v>63</v>
      </c>
    </row>
    <row r="514" spans="1:3">
      <c r="A514" t="s">
        <v>220</v>
      </c>
      <c r="B514">
        <v>9</v>
      </c>
      <c r="C514">
        <v>54</v>
      </c>
    </row>
    <row r="515" spans="1:3">
      <c r="A515" t="s">
        <v>220</v>
      </c>
      <c r="B515">
        <v>10</v>
      </c>
      <c r="C515">
        <v>71</v>
      </c>
    </row>
    <row r="516" spans="1:3">
      <c r="A516" t="s">
        <v>220</v>
      </c>
      <c r="B516">
        <v>11</v>
      </c>
      <c r="C516">
        <v>46</v>
      </c>
    </row>
    <row r="517" spans="1:3">
      <c r="A517" t="s">
        <v>220</v>
      </c>
      <c r="B517">
        <v>12</v>
      </c>
      <c r="C517">
        <v>59</v>
      </c>
    </row>
    <row r="518" spans="1:3">
      <c r="A518" t="s">
        <v>220</v>
      </c>
      <c r="B518">
        <v>13</v>
      </c>
      <c r="C518">
        <v>68</v>
      </c>
    </row>
    <row r="519" spans="1:3">
      <c r="A519" t="s">
        <v>220</v>
      </c>
      <c r="B519">
        <v>14</v>
      </c>
      <c r="C519">
        <v>59</v>
      </c>
    </row>
    <row r="520" spans="1:3">
      <c r="A520" t="s">
        <v>220</v>
      </c>
      <c r="B520">
        <v>15</v>
      </c>
      <c r="C520">
        <v>56</v>
      </c>
    </row>
    <row r="521" spans="1:3">
      <c r="A521" t="s">
        <v>220</v>
      </c>
      <c r="B521">
        <v>16</v>
      </c>
      <c r="C521">
        <v>55</v>
      </c>
    </row>
    <row r="522" spans="1:3">
      <c r="A522" t="s">
        <v>220</v>
      </c>
      <c r="B522">
        <v>17</v>
      </c>
      <c r="C522">
        <v>54</v>
      </c>
    </row>
    <row r="523" spans="1:3">
      <c r="A523" t="s">
        <v>220</v>
      </c>
      <c r="B523">
        <v>18</v>
      </c>
      <c r="C523">
        <v>41</v>
      </c>
    </row>
    <row r="524" spans="1:3">
      <c r="A524" t="s">
        <v>220</v>
      </c>
      <c r="B524">
        <v>19</v>
      </c>
      <c r="C524">
        <v>59</v>
      </c>
    </row>
    <row r="525" spans="1:3">
      <c r="A525" t="s">
        <v>220</v>
      </c>
      <c r="B525">
        <v>20</v>
      </c>
      <c r="C525">
        <v>27</v>
      </c>
    </row>
    <row r="526" spans="1:3">
      <c r="A526" t="s">
        <v>220</v>
      </c>
      <c r="B526">
        <v>21</v>
      </c>
      <c r="C526">
        <v>43</v>
      </c>
    </row>
    <row r="527" spans="1:3">
      <c r="A527" t="s">
        <v>220</v>
      </c>
      <c r="B527">
        <v>22</v>
      </c>
      <c r="C527">
        <v>24</v>
      </c>
    </row>
    <row r="528" spans="1:3">
      <c r="A528" t="s">
        <v>220</v>
      </c>
      <c r="B528">
        <v>23</v>
      </c>
      <c r="C528">
        <v>14</v>
      </c>
    </row>
    <row r="529" spans="1:3">
      <c r="A529" t="s">
        <v>220</v>
      </c>
      <c r="B529">
        <v>24</v>
      </c>
      <c r="C529">
        <v>8</v>
      </c>
    </row>
    <row r="530" spans="1:3">
      <c r="A530" t="s">
        <v>227</v>
      </c>
      <c r="B530">
        <v>1</v>
      </c>
      <c r="C530">
        <v>0</v>
      </c>
    </row>
    <row r="531" spans="1:3">
      <c r="A531" t="s">
        <v>227</v>
      </c>
      <c r="B531">
        <v>2</v>
      </c>
      <c r="C531">
        <v>0</v>
      </c>
    </row>
    <row r="532" spans="1:3">
      <c r="A532" t="s">
        <v>227</v>
      </c>
      <c r="B532">
        <v>3</v>
      </c>
      <c r="C532">
        <v>1</v>
      </c>
    </row>
    <row r="533" spans="1:3">
      <c r="A533" t="s">
        <v>227</v>
      </c>
      <c r="B533">
        <v>4</v>
      </c>
      <c r="C533">
        <v>32</v>
      </c>
    </row>
    <row r="534" spans="1:3">
      <c r="A534" t="s">
        <v>227</v>
      </c>
      <c r="B534">
        <v>5</v>
      </c>
      <c r="C534">
        <v>25</v>
      </c>
    </row>
    <row r="535" spans="1:3">
      <c r="A535" t="s">
        <v>227</v>
      </c>
      <c r="B535">
        <v>6</v>
      </c>
      <c r="C535">
        <v>30</v>
      </c>
    </row>
    <row r="536" spans="1:3">
      <c r="A536" t="s">
        <v>227</v>
      </c>
      <c r="B536">
        <v>7</v>
      </c>
      <c r="C536">
        <v>25</v>
      </c>
    </row>
    <row r="537" spans="1:3">
      <c r="A537" t="s">
        <v>227</v>
      </c>
      <c r="B537">
        <v>8</v>
      </c>
      <c r="C537">
        <v>33</v>
      </c>
    </row>
    <row r="538" spans="1:3">
      <c r="A538" t="s">
        <v>227</v>
      </c>
      <c r="B538">
        <v>9</v>
      </c>
      <c r="C538">
        <v>43</v>
      </c>
    </row>
    <row r="539" spans="1:3">
      <c r="A539" t="s">
        <v>227</v>
      </c>
      <c r="B539">
        <v>10</v>
      </c>
      <c r="C539">
        <v>43</v>
      </c>
    </row>
    <row r="540" spans="1:3">
      <c r="A540" t="s">
        <v>227</v>
      </c>
      <c r="B540">
        <v>11</v>
      </c>
      <c r="C540">
        <v>46</v>
      </c>
    </row>
    <row r="541" spans="1:3">
      <c r="A541" t="s">
        <v>227</v>
      </c>
      <c r="B541">
        <v>12</v>
      </c>
      <c r="C541">
        <v>69</v>
      </c>
    </row>
    <row r="542" spans="1:3">
      <c r="A542" t="s">
        <v>227</v>
      </c>
      <c r="B542">
        <v>13</v>
      </c>
      <c r="C542">
        <v>48</v>
      </c>
    </row>
    <row r="543" spans="1:3">
      <c r="A543" t="s">
        <v>227</v>
      </c>
      <c r="B543">
        <v>14</v>
      </c>
      <c r="C543">
        <v>55</v>
      </c>
    </row>
    <row r="544" spans="1:3">
      <c r="A544" t="s">
        <v>227</v>
      </c>
      <c r="B544">
        <v>15</v>
      </c>
      <c r="C544">
        <v>49</v>
      </c>
    </row>
    <row r="545" spans="1:3">
      <c r="A545" t="s">
        <v>227</v>
      </c>
      <c r="B545">
        <v>16</v>
      </c>
      <c r="C545">
        <v>48</v>
      </c>
    </row>
    <row r="546" spans="1:3">
      <c r="A546" t="s">
        <v>227</v>
      </c>
      <c r="B546">
        <v>17</v>
      </c>
      <c r="C546">
        <v>40</v>
      </c>
    </row>
    <row r="547" spans="1:3">
      <c r="A547" t="s">
        <v>227</v>
      </c>
      <c r="B547">
        <v>18</v>
      </c>
      <c r="C547">
        <v>70</v>
      </c>
    </row>
    <row r="548" spans="1:3">
      <c r="A548" t="s">
        <v>227</v>
      </c>
      <c r="B548">
        <v>19</v>
      </c>
      <c r="C548">
        <v>62</v>
      </c>
    </row>
    <row r="549" spans="1:3">
      <c r="A549" t="s">
        <v>227</v>
      </c>
      <c r="B549">
        <v>20</v>
      </c>
      <c r="C549">
        <v>36</v>
      </c>
    </row>
    <row r="550" spans="1:3">
      <c r="A550" t="s">
        <v>227</v>
      </c>
      <c r="B550">
        <v>21</v>
      </c>
      <c r="C550">
        <v>33</v>
      </c>
    </row>
    <row r="551" spans="1:3">
      <c r="A551" t="s">
        <v>227</v>
      </c>
      <c r="B551">
        <v>22</v>
      </c>
      <c r="C551">
        <v>18</v>
      </c>
    </row>
    <row r="552" spans="1:3">
      <c r="A552" t="s">
        <v>227</v>
      </c>
      <c r="B552">
        <v>23</v>
      </c>
      <c r="C552">
        <v>32</v>
      </c>
    </row>
    <row r="553" spans="1:3">
      <c r="A553" t="s">
        <v>227</v>
      </c>
      <c r="B553">
        <v>24</v>
      </c>
      <c r="C553">
        <v>7</v>
      </c>
    </row>
    <row r="554" spans="1:3">
      <c r="A554" t="s">
        <v>252</v>
      </c>
      <c r="B554">
        <v>1</v>
      </c>
      <c r="C554">
        <v>0</v>
      </c>
    </row>
    <row r="555" spans="1:3">
      <c r="A555" t="s">
        <v>252</v>
      </c>
      <c r="B555">
        <v>2</v>
      </c>
      <c r="C555">
        <v>0</v>
      </c>
    </row>
    <row r="556" spans="1:3">
      <c r="A556" t="s">
        <v>252</v>
      </c>
      <c r="B556">
        <v>3</v>
      </c>
      <c r="C556">
        <v>0</v>
      </c>
    </row>
    <row r="557" spans="1:3">
      <c r="A557" t="s">
        <v>252</v>
      </c>
      <c r="B557">
        <v>4</v>
      </c>
      <c r="C557">
        <v>7</v>
      </c>
    </row>
    <row r="558" spans="1:3">
      <c r="A558" t="s">
        <v>252</v>
      </c>
      <c r="B558">
        <v>5</v>
      </c>
      <c r="C558">
        <v>18</v>
      </c>
    </row>
    <row r="559" spans="1:3">
      <c r="A559" t="s">
        <v>252</v>
      </c>
      <c r="B559">
        <v>6</v>
      </c>
      <c r="C559">
        <v>43</v>
      </c>
    </row>
    <row r="560" spans="1:3">
      <c r="A560" t="s">
        <v>252</v>
      </c>
      <c r="B560">
        <v>7</v>
      </c>
      <c r="C560">
        <v>25</v>
      </c>
    </row>
    <row r="561" spans="1:3">
      <c r="A561" t="s">
        <v>252</v>
      </c>
      <c r="B561">
        <v>8</v>
      </c>
      <c r="C561">
        <v>26</v>
      </c>
    </row>
    <row r="562" spans="1:3">
      <c r="A562" t="s">
        <v>252</v>
      </c>
      <c r="B562">
        <v>9</v>
      </c>
      <c r="C562">
        <v>22</v>
      </c>
    </row>
    <row r="563" spans="1:3">
      <c r="A563" t="s">
        <v>252</v>
      </c>
      <c r="B563">
        <v>10</v>
      </c>
      <c r="C563">
        <v>24</v>
      </c>
    </row>
    <row r="564" spans="1:3">
      <c r="A564" t="s">
        <v>252</v>
      </c>
      <c r="B564">
        <v>11</v>
      </c>
      <c r="C564">
        <v>24</v>
      </c>
    </row>
    <row r="565" spans="1:3">
      <c r="A565" t="s">
        <v>252</v>
      </c>
      <c r="B565">
        <v>12</v>
      </c>
      <c r="C565">
        <v>23</v>
      </c>
    </row>
    <row r="566" spans="1:3">
      <c r="A566" t="s">
        <v>252</v>
      </c>
      <c r="B566">
        <v>13</v>
      </c>
      <c r="C566">
        <v>20</v>
      </c>
    </row>
    <row r="567" spans="1:3">
      <c r="A567" t="s">
        <v>252</v>
      </c>
      <c r="B567">
        <v>14</v>
      </c>
      <c r="C567">
        <v>21</v>
      </c>
    </row>
    <row r="568" spans="1:3">
      <c r="A568" t="s">
        <v>252</v>
      </c>
      <c r="B568">
        <v>15</v>
      </c>
      <c r="C568">
        <v>28</v>
      </c>
    </row>
    <row r="569" spans="1:3">
      <c r="A569" t="s">
        <v>252</v>
      </c>
      <c r="B569">
        <v>16</v>
      </c>
      <c r="C569">
        <v>31</v>
      </c>
    </row>
    <row r="570" spans="1:3">
      <c r="A570" t="s">
        <v>252</v>
      </c>
      <c r="B570">
        <v>17</v>
      </c>
      <c r="C570">
        <v>20</v>
      </c>
    </row>
    <row r="571" spans="1:3">
      <c r="A571" t="s">
        <v>252</v>
      </c>
      <c r="B571">
        <v>18</v>
      </c>
      <c r="C571">
        <v>16</v>
      </c>
    </row>
    <row r="572" spans="1:3">
      <c r="A572" t="s">
        <v>252</v>
      </c>
      <c r="B572">
        <v>19</v>
      </c>
      <c r="C572">
        <v>14</v>
      </c>
    </row>
    <row r="573" spans="1:3">
      <c r="A573" t="s">
        <v>252</v>
      </c>
      <c r="B573">
        <v>20</v>
      </c>
      <c r="C573">
        <v>15</v>
      </c>
    </row>
    <row r="574" spans="1:3">
      <c r="A574" t="s">
        <v>252</v>
      </c>
      <c r="B574">
        <v>21</v>
      </c>
      <c r="C574">
        <v>8</v>
      </c>
    </row>
    <row r="575" spans="1:3">
      <c r="A575" t="s">
        <v>252</v>
      </c>
      <c r="B575">
        <v>22</v>
      </c>
      <c r="C575">
        <v>7</v>
      </c>
    </row>
    <row r="576" spans="1:3">
      <c r="A576" t="s">
        <v>252</v>
      </c>
      <c r="B576">
        <v>23</v>
      </c>
      <c r="C576">
        <v>5</v>
      </c>
    </row>
    <row r="577" spans="1:3">
      <c r="A577" t="s">
        <v>252</v>
      </c>
      <c r="B577">
        <v>24</v>
      </c>
      <c r="C577">
        <v>5</v>
      </c>
    </row>
    <row r="578" spans="1:3">
      <c r="A578" t="s">
        <v>177</v>
      </c>
      <c r="B578">
        <v>1</v>
      </c>
      <c r="C578">
        <v>0</v>
      </c>
    </row>
    <row r="579" spans="1:3">
      <c r="A579" t="s">
        <v>177</v>
      </c>
      <c r="B579">
        <v>2</v>
      </c>
      <c r="C579">
        <v>0</v>
      </c>
    </row>
    <row r="580" spans="1:3">
      <c r="A580" t="s">
        <v>177</v>
      </c>
      <c r="B580">
        <v>3</v>
      </c>
      <c r="C580">
        <v>0</v>
      </c>
    </row>
    <row r="581" spans="1:3">
      <c r="A581" t="s">
        <v>177</v>
      </c>
      <c r="B581">
        <v>4</v>
      </c>
      <c r="C581">
        <v>0</v>
      </c>
    </row>
    <row r="582" spans="1:3">
      <c r="A582" t="s">
        <v>177</v>
      </c>
      <c r="B582">
        <v>5</v>
      </c>
      <c r="C582">
        <v>28</v>
      </c>
    </row>
    <row r="583" spans="1:3">
      <c r="A583" t="s">
        <v>177</v>
      </c>
      <c r="B583">
        <v>6</v>
      </c>
      <c r="C583">
        <v>46</v>
      </c>
    </row>
    <row r="584" spans="1:3">
      <c r="A584" t="s">
        <v>177</v>
      </c>
      <c r="B584">
        <v>7</v>
      </c>
      <c r="C584">
        <v>64</v>
      </c>
    </row>
    <row r="585" spans="1:3">
      <c r="A585" t="s">
        <v>177</v>
      </c>
      <c r="B585">
        <v>8</v>
      </c>
      <c r="C585">
        <v>49</v>
      </c>
    </row>
    <row r="586" spans="1:3">
      <c r="A586" t="s">
        <v>177</v>
      </c>
      <c r="B586">
        <v>9</v>
      </c>
      <c r="C586">
        <v>62</v>
      </c>
    </row>
    <row r="587" spans="1:3">
      <c r="A587" t="s">
        <v>177</v>
      </c>
      <c r="B587">
        <v>10</v>
      </c>
      <c r="C587">
        <v>107</v>
      </c>
    </row>
    <row r="588" spans="1:3">
      <c r="A588" t="s">
        <v>177</v>
      </c>
      <c r="B588">
        <v>11</v>
      </c>
      <c r="C588">
        <v>56</v>
      </c>
    </row>
    <row r="589" spans="1:3">
      <c r="A589" t="s">
        <v>177</v>
      </c>
      <c r="B589">
        <v>12</v>
      </c>
      <c r="C589">
        <v>59</v>
      </c>
    </row>
    <row r="590" spans="1:3">
      <c r="A590" t="s">
        <v>177</v>
      </c>
      <c r="B590">
        <v>13</v>
      </c>
      <c r="C590">
        <v>71</v>
      </c>
    </row>
    <row r="591" spans="1:3">
      <c r="A591" t="s">
        <v>177</v>
      </c>
      <c r="B591">
        <v>14</v>
      </c>
      <c r="C591">
        <v>55</v>
      </c>
    </row>
    <row r="592" spans="1:3">
      <c r="A592" t="s">
        <v>177</v>
      </c>
      <c r="B592">
        <v>15</v>
      </c>
      <c r="C592">
        <v>66</v>
      </c>
    </row>
    <row r="593" spans="1:3">
      <c r="A593" t="s">
        <v>177</v>
      </c>
      <c r="B593">
        <v>16</v>
      </c>
      <c r="C593">
        <v>60</v>
      </c>
    </row>
    <row r="594" spans="1:3">
      <c r="A594" t="s">
        <v>177</v>
      </c>
      <c r="B594">
        <v>17</v>
      </c>
      <c r="C594">
        <v>66</v>
      </c>
    </row>
    <row r="595" spans="1:3">
      <c r="A595" t="s">
        <v>177</v>
      </c>
      <c r="B595">
        <v>18</v>
      </c>
      <c r="C595">
        <v>55</v>
      </c>
    </row>
    <row r="596" spans="1:3">
      <c r="A596" t="s">
        <v>177</v>
      </c>
      <c r="B596">
        <v>19</v>
      </c>
      <c r="C596">
        <v>53</v>
      </c>
    </row>
    <row r="597" spans="1:3">
      <c r="A597" t="s">
        <v>177</v>
      </c>
      <c r="B597">
        <v>20</v>
      </c>
      <c r="C597">
        <v>75</v>
      </c>
    </row>
    <row r="598" spans="1:3">
      <c r="A598" t="s">
        <v>177</v>
      </c>
      <c r="B598">
        <v>21</v>
      </c>
      <c r="C598">
        <v>62</v>
      </c>
    </row>
    <row r="599" spans="1:3">
      <c r="A599" t="s">
        <v>177</v>
      </c>
      <c r="B599">
        <v>22</v>
      </c>
      <c r="C599">
        <v>47</v>
      </c>
    </row>
    <row r="600" spans="1:3">
      <c r="A600" t="s">
        <v>177</v>
      </c>
      <c r="B600">
        <v>23</v>
      </c>
      <c r="C600">
        <v>60</v>
      </c>
    </row>
    <row r="601" spans="1:3">
      <c r="A601" t="s">
        <v>177</v>
      </c>
      <c r="B601">
        <v>24</v>
      </c>
      <c r="C601">
        <v>20</v>
      </c>
    </row>
    <row r="602" spans="1:3">
      <c r="A602" t="s">
        <v>183</v>
      </c>
      <c r="B602">
        <v>1</v>
      </c>
      <c r="C602">
        <v>0</v>
      </c>
    </row>
    <row r="603" spans="1:3">
      <c r="A603" t="s">
        <v>183</v>
      </c>
      <c r="B603">
        <v>2</v>
      </c>
      <c r="C603">
        <v>0</v>
      </c>
    </row>
    <row r="604" spans="1:3">
      <c r="A604" t="s">
        <v>183</v>
      </c>
      <c r="B604">
        <v>3</v>
      </c>
      <c r="C604">
        <v>0</v>
      </c>
    </row>
    <row r="605" spans="1:3">
      <c r="A605" t="s">
        <v>183</v>
      </c>
      <c r="B605">
        <v>4</v>
      </c>
      <c r="C605">
        <v>2</v>
      </c>
    </row>
    <row r="606" spans="1:3">
      <c r="A606" t="s">
        <v>183</v>
      </c>
      <c r="B606">
        <v>5</v>
      </c>
      <c r="C606">
        <v>34</v>
      </c>
    </row>
    <row r="607" spans="1:3">
      <c r="A607" t="s">
        <v>183</v>
      </c>
      <c r="B607">
        <v>6</v>
      </c>
      <c r="C607">
        <v>56</v>
      </c>
    </row>
    <row r="608" spans="1:3">
      <c r="A608" t="s">
        <v>183</v>
      </c>
      <c r="B608">
        <v>7</v>
      </c>
      <c r="C608">
        <v>78</v>
      </c>
    </row>
    <row r="609" spans="1:3">
      <c r="A609" t="s">
        <v>183</v>
      </c>
      <c r="B609">
        <v>8</v>
      </c>
      <c r="C609">
        <v>40</v>
      </c>
    </row>
    <row r="610" spans="1:3">
      <c r="A610" t="s">
        <v>183</v>
      </c>
      <c r="B610">
        <v>9</v>
      </c>
      <c r="C610">
        <v>64</v>
      </c>
    </row>
    <row r="611" spans="1:3">
      <c r="A611" t="s">
        <v>183</v>
      </c>
      <c r="B611">
        <v>10</v>
      </c>
      <c r="C611">
        <v>71</v>
      </c>
    </row>
    <row r="612" spans="1:3">
      <c r="A612" t="s">
        <v>183</v>
      </c>
      <c r="B612">
        <v>11</v>
      </c>
      <c r="C612">
        <v>67</v>
      </c>
    </row>
    <row r="613" spans="1:3">
      <c r="A613" t="s">
        <v>183</v>
      </c>
      <c r="B613">
        <v>12</v>
      </c>
      <c r="C613">
        <v>94</v>
      </c>
    </row>
    <row r="614" spans="1:3">
      <c r="A614" t="s">
        <v>183</v>
      </c>
      <c r="B614">
        <v>13</v>
      </c>
      <c r="C614">
        <v>65</v>
      </c>
    </row>
    <row r="615" spans="1:3">
      <c r="A615" t="s">
        <v>183</v>
      </c>
      <c r="B615">
        <v>14</v>
      </c>
      <c r="C615">
        <v>69</v>
      </c>
    </row>
    <row r="616" spans="1:3">
      <c r="A616" t="s">
        <v>183</v>
      </c>
      <c r="B616">
        <v>15</v>
      </c>
      <c r="C616">
        <v>65</v>
      </c>
    </row>
    <row r="617" spans="1:3">
      <c r="A617" t="s">
        <v>183</v>
      </c>
      <c r="B617">
        <v>16</v>
      </c>
      <c r="C617">
        <v>63</v>
      </c>
    </row>
    <row r="618" spans="1:3">
      <c r="A618" t="s">
        <v>183</v>
      </c>
      <c r="B618">
        <v>17</v>
      </c>
      <c r="C618">
        <v>69</v>
      </c>
    </row>
    <row r="619" spans="1:3">
      <c r="A619" t="s">
        <v>183</v>
      </c>
      <c r="B619">
        <v>18</v>
      </c>
      <c r="C619">
        <v>79</v>
      </c>
    </row>
    <row r="620" spans="1:3">
      <c r="A620" t="s">
        <v>183</v>
      </c>
      <c r="B620">
        <v>19</v>
      </c>
      <c r="C620">
        <v>67</v>
      </c>
    </row>
    <row r="621" spans="1:3">
      <c r="A621" t="s">
        <v>183</v>
      </c>
      <c r="B621">
        <v>20</v>
      </c>
      <c r="C621">
        <v>78</v>
      </c>
    </row>
    <row r="622" spans="1:3">
      <c r="A622" t="s">
        <v>183</v>
      </c>
      <c r="B622">
        <v>21</v>
      </c>
      <c r="C622">
        <v>59</v>
      </c>
    </row>
    <row r="623" spans="1:3">
      <c r="A623" t="s">
        <v>183</v>
      </c>
      <c r="B623">
        <v>22</v>
      </c>
      <c r="C623">
        <v>52</v>
      </c>
    </row>
    <row r="624" spans="1:3">
      <c r="A624" t="s">
        <v>183</v>
      </c>
      <c r="B624">
        <v>23</v>
      </c>
      <c r="C624">
        <v>77</v>
      </c>
    </row>
    <row r="625" spans="1:3">
      <c r="A625" t="s">
        <v>183</v>
      </c>
      <c r="B625">
        <v>24</v>
      </c>
      <c r="C625">
        <v>8</v>
      </c>
    </row>
    <row r="626" spans="1:3">
      <c r="A626" t="s">
        <v>222</v>
      </c>
      <c r="B626">
        <v>1</v>
      </c>
      <c r="C626">
        <v>0</v>
      </c>
    </row>
    <row r="627" spans="1:3">
      <c r="A627" t="s">
        <v>222</v>
      </c>
      <c r="B627">
        <v>2</v>
      </c>
      <c r="C627">
        <v>0</v>
      </c>
    </row>
    <row r="628" spans="1:3">
      <c r="A628" t="s">
        <v>222</v>
      </c>
      <c r="B628">
        <v>3</v>
      </c>
      <c r="C628">
        <v>0</v>
      </c>
    </row>
    <row r="629" spans="1:3">
      <c r="A629" t="s">
        <v>222</v>
      </c>
      <c r="B629">
        <v>4</v>
      </c>
      <c r="C629">
        <v>36</v>
      </c>
    </row>
    <row r="630" spans="1:3">
      <c r="A630" t="s">
        <v>222</v>
      </c>
      <c r="B630">
        <v>5</v>
      </c>
      <c r="C630">
        <v>41</v>
      </c>
    </row>
    <row r="631" spans="1:3">
      <c r="A631" t="s">
        <v>222</v>
      </c>
      <c r="B631">
        <v>6</v>
      </c>
      <c r="C631">
        <v>48</v>
      </c>
    </row>
    <row r="632" spans="1:3">
      <c r="A632" t="s">
        <v>222</v>
      </c>
      <c r="B632">
        <v>7</v>
      </c>
      <c r="C632">
        <v>68</v>
      </c>
    </row>
    <row r="633" spans="1:3">
      <c r="A633" t="s">
        <v>222</v>
      </c>
      <c r="B633">
        <v>8</v>
      </c>
      <c r="C633">
        <v>56</v>
      </c>
    </row>
    <row r="634" spans="1:3">
      <c r="A634" t="s">
        <v>222</v>
      </c>
      <c r="B634">
        <v>9</v>
      </c>
      <c r="C634">
        <v>49</v>
      </c>
    </row>
    <row r="635" spans="1:3">
      <c r="A635" t="s">
        <v>222</v>
      </c>
      <c r="B635">
        <v>10</v>
      </c>
      <c r="C635">
        <v>44</v>
      </c>
    </row>
    <row r="636" spans="1:3">
      <c r="A636" t="s">
        <v>222</v>
      </c>
      <c r="B636">
        <v>11</v>
      </c>
      <c r="C636">
        <v>39</v>
      </c>
    </row>
    <row r="637" spans="1:3">
      <c r="A637" t="s">
        <v>222</v>
      </c>
      <c r="B637">
        <v>12</v>
      </c>
      <c r="C637">
        <v>40</v>
      </c>
    </row>
    <row r="638" spans="1:3">
      <c r="A638" t="s">
        <v>222</v>
      </c>
      <c r="B638">
        <v>13</v>
      </c>
      <c r="C638">
        <v>72</v>
      </c>
    </row>
    <row r="639" spans="1:3">
      <c r="A639" t="s">
        <v>222</v>
      </c>
      <c r="B639">
        <v>14</v>
      </c>
      <c r="C639">
        <v>65</v>
      </c>
    </row>
    <row r="640" spans="1:3">
      <c r="A640" t="s">
        <v>222</v>
      </c>
      <c r="B640">
        <v>15</v>
      </c>
      <c r="C640">
        <v>56</v>
      </c>
    </row>
    <row r="641" spans="1:3">
      <c r="A641" t="s">
        <v>222</v>
      </c>
      <c r="B641">
        <v>16</v>
      </c>
      <c r="C641">
        <v>59</v>
      </c>
    </row>
    <row r="642" spans="1:3">
      <c r="A642" t="s">
        <v>222</v>
      </c>
      <c r="B642">
        <v>17</v>
      </c>
      <c r="C642">
        <v>52</v>
      </c>
    </row>
    <row r="643" spans="1:3">
      <c r="A643" t="s">
        <v>222</v>
      </c>
      <c r="B643">
        <v>18</v>
      </c>
      <c r="C643">
        <v>43</v>
      </c>
    </row>
    <row r="644" spans="1:3">
      <c r="A644" t="s">
        <v>222</v>
      </c>
      <c r="B644">
        <v>19</v>
      </c>
      <c r="C644">
        <v>32</v>
      </c>
    </row>
    <row r="645" spans="1:3">
      <c r="A645" t="s">
        <v>222</v>
      </c>
      <c r="B645">
        <v>20</v>
      </c>
      <c r="C645">
        <v>26</v>
      </c>
    </row>
    <row r="646" spans="1:3">
      <c r="A646" t="s">
        <v>222</v>
      </c>
      <c r="B646">
        <v>21</v>
      </c>
      <c r="C646">
        <v>22</v>
      </c>
    </row>
    <row r="647" spans="1:3">
      <c r="A647" t="s">
        <v>222</v>
      </c>
      <c r="B647">
        <v>22</v>
      </c>
      <c r="C647">
        <v>24</v>
      </c>
    </row>
    <row r="648" spans="1:3">
      <c r="A648" t="s">
        <v>222</v>
      </c>
      <c r="B648">
        <v>23</v>
      </c>
      <c r="C648">
        <v>18</v>
      </c>
    </row>
    <row r="649" spans="1:3">
      <c r="A649" t="s">
        <v>222</v>
      </c>
      <c r="B649">
        <v>24</v>
      </c>
      <c r="C649">
        <v>9</v>
      </c>
    </row>
    <row r="650" spans="1:3">
      <c r="A650" t="s">
        <v>172</v>
      </c>
      <c r="B650">
        <v>1</v>
      </c>
      <c r="C650">
        <v>2</v>
      </c>
    </row>
    <row r="651" spans="1:3">
      <c r="A651" t="s">
        <v>172</v>
      </c>
      <c r="B651">
        <v>2</v>
      </c>
      <c r="C651">
        <v>6</v>
      </c>
    </row>
    <row r="652" spans="1:3">
      <c r="A652" t="s">
        <v>172</v>
      </c>
      <c r="B652">
        <v>3</v>
      </c>
      <c r="C652">
        <v>4</v>
      </c>
    </row>
    <row r="653" spans="1:3">
      <c r="A653" t="s">
        <v>172</v>
      </c>
      <c r="B653">
        <v>4</v>
      </c>
      <c r="C653">
        <v>11</v>
      </c>
    </row>
    <row r="654" spans="1:3">
      <c r="A654" t="s">
        <v>172</v>
      </c>
      <c r="B654">
        <v>5</v>
      </c>
      <c r="C654">
        <v>60</v>
      </c>
    </row>
    <row r="655" spans="1:3">
      <c r="A655" t="s">
        <v>172</v>
      </c>
      <c r="B655">
        <v>6</v>
      </c>
      <c r="C655">
        <v>104</v>
      </c>
    </row>
    <row r="656" spans="1:3">
      <c r="A656" t="s">
        <v>172</v>
      </c>
      <c r="B656">
        <v>7</v>
      </c>
      <c r="C656">
        <v>124</v>
      </c>
    </row>
    <row r="657" spans="1:3">
      <c r="A657" t="s">
        <v>172</v>
      </c>
      <c r="B657">
        <v>8</v>
      </c>
      <c r="C657">
        <v>97</v>
      </c>
    </row>
    <row r="658" spans="1:3">
      <c r="A658" t="s">
        <v>172</v>
      </c>
      <c r="B658">
        <v>9</v>
      </c>
      <c r="C658">
        <v>63</v>
      </c>
    </row>
    <row r="659" spans="1:3">
      <c r="A659" t="s">
        <v>172</v>
      </c>
      <c r="B659">
        <v>10</v>
      </c>
      <c r="C659">
        <v>60</v>
      </c>
    </row>
    <row r="660" spans="1:3">
      <c r="A660" t="s">
        <v>172</v>
      </c>
      <c r="B660">
        <v>11</v>
      </c>
      <c r="C660">
        <v>65</v>
      </c>
    </row>
    <row r="661" spans="1:3">
      <c r="A661" t="s">
        <v>172</v>
      </c>
      <c r="B661">
        <v>12</v>
      </c>
      <c r="C661">
        <v>73</v>
      </c>
    </row>
    <row r="662" spans="1:3">
      <c r="A662" t="s">
        <v>172</v>
      </c>
      <c r="B662">
        <v>13</v>
      </c>
      <c r="C662">
        <v>57</v>
      </c>
    </row>
    <row r="663" spans="1:3">
      <c r="A663" t="s">
        <v>172</v>
      </c>
      <c r="B663">
        <v>14</v>
      </c>
      <c r="C663">
        <v>72</v>
      </c>
    </row>
    <row r="664" spans="1:3">
      <c r="A664" t="s">
        <v>172</v>
      </c>
      <c r="B664">
        <v>15</v>
      </c>
      <c r="C664">
        <v>93</v>
      </c>
    </row>
    <row r="665" spans="1:3">
      <c r="A665" t="s">
        <v>172</v>
      </c>
      <c r="B665">
        <v>16</v>
      </c>
      <c r="C665">
        <v>104</v>
      </c>
    </row>
    <row r="666" spans="1:3">
      <c r="A666" t="s">
        <v>172</v>
      </c>
      <c r="B666">
        <v>17</v>
      </c>
      <c r="C666">
        <v>94</v>
      </c>
    </row>
    <row r="667" spans="1:3">
      <c r="A667" t="s">
        <v>172</v>
      </c>
      <c r="B667">
        <v>18</v>
      </c>
      <c r="C667">
        <v>85</v>
      </c>
    </row>
    <row r="668" spans="1:3">
      <c r="A668" t="s">
        <v>172</v>
      </c>
      <c r="B668">
        <v>19</v>
      </c>
      <c r="C668">
        <v>111</v>
      </c>
    </row>
    <row r="669" spans="1:3">
      <c r="A669" t="s">
        <v>172</v>
      </c>
      <c r="B669">
        <v>20</v>
      </c>
      <c r="C669">
        <v>114</v>
      </c>
    </row>
    <row r="670" spans="1:3">
      <c r="A670" t="s">
        <v>172</v>
      </c>
      <c r="B670">
        <v>21</v>
      </c>
      <c r="C670">
        <v>75</v>
      </c>
    </row>
    <row r="671" spans="1:3">
      <c r="A671" t="s">
        <v>172</v>
      </c>
      <c r="B671">
        <v>22</v>
      </c>
      <c r="C671">
        <v>98</v>
      </c>
    </row>
    <row r="672" spans="1:3">
      <c r="A672" t="s">
        <v>172</v>
      </c>
      <c r="B672">
        <v>23</v>
      </c>
      <c r="C672">
        <v>120</v>
      </c>
    </row>
    <row r="673" spans="1:3">
      <c r="A673" t="s">
        <v>172</v>
      </c>
      <c r="B673">
        <v>24</v>
      </c>
      <c r="C673">
        <v>65</v>
      </c>
    </row>
    <row r="674" spans="1:3">
      <c r="A674" t="s">
        <v>240</v>
      </c>
      <c r="B674">
        <v>1</v>
      </c>
      <c r="C674">
        <v>0</v>
      </c>
    </row>
    <row r="675" spans="1:3">
      <c r="A675" t="s">
        <v>240</v>
      </c>
      <c r="B675">
        <v>2</v>
      </c>
      <c r="C675">
        <v>0</v>
      </c>
    </row>
    <row r="676" spans="1:3">
      <c r="A676" t="s">
        <v>240</v>
      </c>
      <c r="B676">
        <v>3</v>
      </c>
      <c r="C676">
        <v>1</v>
      </c>
    </row>
    <row r="677" spans="1:3">
      <c r="A677" t="s">
        <v>240</v>
      </c>
      <c r="B677">
        <v>4</v>
      </c>
      <c r="C677">
        <v>23</v>
      </c>
    </row>
    <row r="678" spans="1:3">
      <c r="A678" t="s">
        <v>240</v>
      </c>
      <c r="B678">
        <v>5</v>
      </c>
      <c r="C678">
        <v>44</v>
      </c>
    </row>
    <row r="679" spans="1:3">
      <c r="A679" t="s">
        <v>240</v>
      </c>
      <c r="B679">
        <v>6</v>
      </c>
      <c r="C679">
        <v>52</v>
      </c>
    </row>
    <row r="680" spans="1:3">
      <c r="A680" t="s">
        <v>240</v>
      </c>
      <c r="B680">
        <v>7</v>
      </c>
      <c r="C680">
        <v>53</v>
      </c>
    </row>
    <row r="681" spans="1:3">
      <c r="A681" t="s">
        <v>240</v>
      </c>
      <c r="B681">
        <v>8</v>
      </c>
      <c r="C681">
        <v>31</v>
      </c>
    </row>
    <row r="682" spans="1:3">
      <c r="A682" t="s">
        <v>240</v>
      </c>
      <c r="B682">
        <v>9</v>
      </c>
      <c r="C682">
        <v>33</v>
      </c>
    </row>
    <row r="683" spans="1:3">
      <c r="A683" t="s">
        <v>240</v>
      </c>
      <c r="B683">
        <v>10</v>
      </c>
      <c r="C683">
        <v>30</v>
      </c>
    </row>
    <row r="684" spans="1:3">
      <c r="A684" t="s">
        <v>240</v>
      </c>
      <c r="B684">
        <v>11</v>
      </c>
      <c r="C684">
        <v>33</v>
      </c>
    </row>
    <row r="685" spans="1:3">
      <c r="A685" t="s">
        <v>240</v>
      </c>
      <c r="B685">
        <v>12</v>
      </c>
      <c r="C685">
        <v>37</v>
      </c>
    </row>
    <row r="686" spans="1:3">
      <c r="A686" t="s">
        <v>240</v>
      </c>
      <c r="B686">
        <v>13</v>
      </c>
      <c r="C686">
        <v>30</v>
      </c>
    </row>
    <row r="687" spans="1:3">
      <c r="A687" t="s">
        <v>240</v>
      </c>
      <c r="B687">
        <v>14</v>
      </c>
      <c r="C687">
        <v>49</v>
      </c>
    </row>
    <row r="688" spans="1:3">
      <c r="A688" t="s">
        <v>240</v>
      </c>
      <c r="B688">
        <v>15</v>
      </c>
      <c r="C688">
        <v>31</v>
      </c>
    </row>
    <row r="689" spans="1:3">
      <c r="A689" t="s">
        <v>240</v>
      </c>
      <c r="B689">
        <v>16</v>
      </c>
      <c r="C689">
        <v>52</v>
      </c>
    </row>
    <row r="690" spans="1:3">
      <c r="A690" t="s">
        <v>240</v>
      </c>
      <c r="B690">
        <v>17</v>
      </c>
      <c r="C690">
        <v>50</v>
      </c>
    </row>
    <row r="691" spans="1:3">
      <c r="A691" t="s">
        <v>240</v>
      </c>
      <c r="B691">
        <v>18</v>
      </c>
      <c r="C691">
        <v>53</v>
      </c>
    </row>
    <row r="692" spans="1:3">
      <c r="A692" t="s">
        <v>240</v>
      </c>
      <c r="B692">
        <v>19</v>
      </c>
      <c r="C692">
        <v>33</v>
      </c>
    </row>
    <row r="693" spans="1:3">
      <c r="A693" t="s">
        <v>240</v>
      </c>
      <c r="B693">
        <v>20</v>
      </c>
      <c r="C693">
        <v>22</v>
      </c>
    </row>
    <row r="694" spans="1:3">
      <c r="A694" t="s">
        <v>240</v>
      </c>
      <c r="B694">
        <v>21</v>
      </c>
      <c r="C694">
        <v>25</v>
      </c>
    </row>
    <row r="695" spans="1:3">
      <c r="A695" t="s">
        <v>240</v>
      </c>
      <c r="B695">
        <v>22</v>
      </c>
      <c r="C695">
        <v>19</v>
      </c>
    </row>
    <row r="696" spans="1:3">
      <c r="A696" t="s">
        <v>240</v>
      </c>
      <c r="B696">
        <v>23</v>
      </c>
      <c r="C696">
        <v>27</v>
      </c>
    </row>
    <row r="697" spans="1:3">
      <c r="A697" t="s">
        <v>240</v>
      </c>
      <c r="B697">
        <v>24</v>
      </c>
      <c r="C697">
        <v>22</v>
      </c>
    </row>
    <row r="698" spans="1:3">
      <c r="A698" t="s">
        <v>260</v>
      </c>
      <c r="B698">
        <v>1</v>
      </c>
      <c r="C698">
        <v>0</v>
      </c>
    </row>
    <row r="699" spans="1:3">
      <c r="A699" t="s">
        <v>260</v>
      </c>
      <c r="B699">
        <v>2</v>
      </c>
      <c r="C699">
        <v>0</v>
      </c>
    </row>
    <row r="700" spans="1:3">
      <c r="A700" t="s">
        <v>260</v>
      </c>
      <c r="B700">
        <v>3</v>
      </c>
      <c r="C700">
        <v>0</v>
      </c>
    </row>
    <row r="701" spans="1:3">
      <c r="A701" t="s">
        <v>260</v>
      </c>
      <c r="B701">
        <v>4</v>
      </c>
      <c r="C701">
        <v>11</v>
      </c>
    </row>
    <row r="702" spans="1:3">
      <c r="A702" t="s">
        <v>260</v>
      </c>
      <c r="B702">
        <v>5</v>
      </c>
      <c r="C702">
        <v>16</v>
      </c>
    </row>
    <row r="703" spans="1:3">
      <c r="A703" t="s">
        <v>260</v>
      </c>
      <c r="B703">
        <v>6</v>
      </c>
      <c r="C703">
        <v>19</v>
      </c>
    </row>
    <row r="704" spans="1:3">
      <c r="A704" t="s">
        <v>260</v>
      </c>
      <c r="B704">
        <v>7</v>
      </c>
      <c r="C704">
        <v>33</v>
      </c>
    </row>
    <row r="705" spans="1:3">
      <c r="A705" t="s">
        <v>260</v>
      </c>
      <c r="B705">
        <v>8</v>
      </c>
      <c r="C705">
        <v>33</v>
      </c>
    </row>
    <row r="706" spans="1:3">
      <c r="A706" t="s">
        <v>260</v>
      </c>
      <c r="B706">
        <v>9</v>
      </c>
      <c r="C706">
        <v>30</v>
      </c>
    </row>
    <row r="707" spans="1:3">
      <c r="A707" t="s">
        <v>260</v>
      </c>
      <c r="B707">
        <v>10</v>
      </c>
      <c r="C707">
        <v>19</v>
      </c>
    </row>
    <row r="708" spans="1:3">
      <c r="A708" t="s">
        <v>260</v>
      </c>
      <c r="B708">
        <v>11</v>
      </c>
      <c r="C708">
        <v>24</v>
      </c>
    </row>
    <row r="709" spans="1:3">
      <c r="A709" t="s">
        <v>260</v>
      </c>
      <c r="B709">
        <v>12</v>
      </c>
      <c r="C709">
        <v>21</v>
      </c>
    </row>
    <row r="710" spans="1:3">
      <c r="A710" t="s">
        <v>260</v>
      </c>
      <c r="B710">
        <v>13</v>
      </c>
      <c r="C710">
        <v>29</v>
      </c>
    </row>
    <row r="711" spans="1:3">
      <c r="A711" t="s">
        <v>260</v>
      </c>
      <c r="B711">
        <v>14</v>
      </c>
      <c r="C711">
        <v>34</v>
      </c>
    </row>
    <row r="712" spans="1:3">
      <c r="A712" t="s">
        <v>260</v>
      </c>
      <c r="B712">
        <v>15</v>
      </c>
      <c r="C712">
        <v>34</v>
      </c>
    </row>
    <row r="713" spans="1:3">
      <c r="A713" t="s">
        <v>260</v>
      </c>
      <c r="B713">
        <v>16</v>
      </c>
      <c r="C713">
        <v>29</v>
      </c>
    </row>
    <row r="714" spans="1:3">
      <c r="A714" t="s">
        <v>260</v>
      </c>
      <c r="B714">
        <v>17</v>
      </c>
      <c r="C714">
        <v>26</v>
      </c>
    </row>
    <row r="715" spans="1:3">
      <c r="A715" t="s">
        <v>260</v>
      </c>
      <c r="B715">
        <v>18</v>
      </c>
      <c r="C715">
        <v>23</v>
      </c>
    </row>
    <row r="716" spans="1:3">
      <c r="A716" t="s">
        <v>260</v>
      </c>
      <c r="B716">
        <v>19</v>
      </c>
      <c r="C716">
        <v>22</v>
      </c>
    </row>
    <row r="717" spans="1:3">
      <c r="A717" t="s">
        <v>260</v>
      </c>
      <c r="B717">
        <v>20</v>
      </c>
      <c r="C717">
        <v>18</v>
      </c>
    </row>
    <row r="718" spans="1:3">
      <c r="A718" t="s">
        <v>260</v>
      </c>
      <c r="B718">
        <v>21</v>
      </c>
      <c r="C718">
        <v>18</v>
      </c>
    </row>
    <row r="719" spans="1:3">
      <c r="A719" t="s">
        <v>260</v>
      </c>
      <c r="B719">
        <v>22</v>
      </c>
      <c r="C719">
        <v>14</v>
      </c>
    </row>
    <row r="720" spans="1:3">
      <c r="A720" t="s">
        <v>260</v>
      </c>
      <c r="B720">
        <v>23</v>
      </c>
      <c r="C720">
        <v>6</v>
      </c>
    </row>
    <row r="721" spans="1:3">
      <c r="A721" t="s">
        <v>260</v>
      </c>
      <c r="B721">
        <v>24</v>
      </c>
      <c r="C721">
        <v>0</v>
      </c>
    </row>
    <row r="722" spans="1:3">
      <c r="A722" t="s">
        <v>232</v>
      </c>
      <c r="B722">
        <v>1</v>
      </c>
      <c r="C722">
        <v>0</v>
      </c>
    </row>
    <row r="723" spans="1:3">
      <c r="A723" t="s">
        <v>232</v>
      </c>
      <c r="B723">
        <v>2</v>
      </c>
      <c r="C723">
        <v>0</v>
      </c>
    </row>
    <row r="724" spans="1:3">
      <c r="A724" t="s">
        <v>232</v>
      </c>
      <c r="B724">
        <v>3</v>
      </c>
      <c r="C724">
        <v>0</v>
      </c>
    </row>
    <row r="725" spans="1:3">
      <c r="A725" t="s">
        <v>232</v>
      </c>
      <c r="B725">
        <v>4</v>
      </c>
      <c r="C725">
        <v>7</v>
      </c>
    </row>
    <row r="726" spans="1:3">
      <c r="A726" t="s">
        <v>232</v>
      </c>
      <c r="B726">
        <v>5</v>
      </c>
      <c r="C726">
        <v>43</v>
      </c>
    </row>
    <row r="727" spans="1:3">
      <c r="A727" t="s">
        <v>232</v>
      </c>
      <c r="B727">
        <v>6</v>
      </c>
      <c r="C727">
        <v>44</v>
      </c>
    </row>
    <row r="728" spans="1:3">
      <c r="A728" t="s">
        <v>232</v>
      </c>
      <c r="B728">
        <v>7</v>
      </c>
      <c r="C728">
        <v>54</v>
      </c>
    </row>
    <row r="729" spans="1:3">
      <c r="A729" t="s">
        <v>232</v>
      </c>
      <c r="B729">
        <v>8</v>
      </c>
      <c r="C729">
        <v>47</v>
      </c>
    </row>
    <row r="730" spans="1:3">
      <c r="A730" t="s">
        <v>232</v>
      </c>
      <c r="B730">
        <v>9</v>
      </c>
      <c r="C730">
        <v>62</v>
      </c>
    </row>
    <row r="731" spans="1:3">
      <c r="A731" t="s">
        <v>232</v>
      </c>
      <c r="B731">
        <v>10</v>
      </c>
      <c r="C731">
        <v>55</v>
      </c>
    </row>
    <row r="732" spans="1:3">
      <c r="A732" t="s">
        <v>232</v>
      </c>
      <c r="B732">
        <v>11</v>
      </c>
      <c r="C732">
        <v>46</v>
      </c>
    </row>
    <row r="733" spans="1:3">
      <c r="A733" t="s">
        <v>232</v>
      </c>
      <c r="B733">
        <v>12</v>
      </c>
      <c r="C733">
        <v>35</v>
      </c>
    </row>
    <row r="734" spans="1:3">
      <c r="A734" t="s">
        <v>232</v>
      </c>
      <c r="B734">
        <v>13</v>
      </c>
      <c r="C734">
        <v>39</v>
      </c>
    </row>
    <row r="735" spans="1:3">
      <c r="A735" t="s">
        <v>232</v>
      </c>
      <c r="B735">
        <v>14</v>
      </c>
      <c r="C735">
        <v>43</v>
      </c>
    </row>
    <row r="736" spans="1:3">
      <c r="A736" t="s">
        <v>232</v>
      </c>
      <c r="B736">
        <v>15</v>
      </c>
      <c r="C736">
        <v>57</v>
      </c>
    </row>
    <row r="737" spans="1:3">
      <c r="A737" t="s">
        <v>232</v>
      </c>
      <c r="B737">
        <v>16</v>
      </c>
      <c r="C737">
        <v>35</v>
      </c>
    </row>
    <row r="738" spans="1:3">
      <c r="A738" t="s">
        <v>232</v>
      </c>
      <c r="B738">
        <v>17</v>
      </c>
      <c r="C738">
        <v>45</v>
      </c>
    </row>
    <row r="739" spans="1:3">
      <c r="A739" t="s">
        <v>232</v>
      </c>
      <c r="B739">
        <v>18</v>
      </c>
      <c r="C739">
        <v>38</v>
      </c>
    </row>
    <row r="740" spans="1:3">
      <c r="A740" t="s">
        <v>232</v>
      </c>
      <c r="B740">
        <v>19</v>
      </c>
      <c r="C740">
        <v>29</v>
      </c>
    </row>
    <row r="741" spans="1:3">
      <c r="A741" t="s">
        <v>232</v>
      </c>
      <c r="B741">
        <v>20</v>
      </c>
      <c r="C741">
        <v>27</v>
      </c>
    </row>
    <row r="742" spans="1:3">
      <c r="A742" t="s">
        <v>232</v>
      </c>
      <c r="B742">
        <v>21</v>
      </c>
      <c r="C742">
        <v>19</v>
      </c>
    </row>
    <row r="743" spans="1:3">
      <c r="A743" t="s">
        <v>232</v>
      </c>
      <c r="B743">
        <v>22</v>
      </c>
      <c r="C743">
        <v>13</v>
      </c>
    </row>
    <row r="744" spans="1:3">
      <c r="A744" t="s">
        <v>232</v>
      </c>
      <c r="B744">
        <v>23</v>
      </c>
      <c r="C744">
        <v>9</v>
      </c>
    </row>
    <row r="745" spans="1:3">
      <c r="A745" t="s">
        <v>232</v>
      </c>
      <c r="B745">
        <v>24</v>
      </c>
      <c r="C745">
        <v>1</v>
      </c>
    </row>
    <row r="746" spans="1:3">
      <c r="A746" t="s">
        <v>258</v>
      </c>
      <c r="B746">
        <v>1</v>
      </c>
      <c r="C746">
        <v>0</v>
      </c>
    </row>
    <row r="747" spans="1:3">
      <c r="A747" t="s">
        <v>258</v>
      </c>
      <c r="B747">
        <v>2</v>
      </c>
      <c r="C747">
        <v>0</v>
      </c>
    </row>
    <row r="748" spans="1:3">
      <c r="A748" t="s">
        <v>258</v>
      </c>
      <c r="B748">
        <v>3</v>
      </c>
      <c r="C748">
        <v>0</v>
      </c>
    </row>
    <row r="749" spans="1:3">
      <c r="A749" t="s">
        <v>258</v>
      </c>
      <c r="B749">
        <v>4</v>
      </c>
      <c r="C749">
        <v>13</v>
      </c>
    </row>
    <row r="750" spans="1:3">
      <c r="A750" t="s">
        <v>258</v>
      </c>
      <c r="B750">
        <v>5</v>
      </c>
      <c r="C750">
        <v>36</v>
      </c>
    </row>
    <row r="751" spans="1:3">
      <c r="A751" t="s">
        <v>258</v>
      </c>
      <c r="B751">
        <v>6</v>
      </c>
      <c r="C751">
        <v>35</v>
      </c>
    </row>
    <row r="752" spans="1:3">
      <c r="A752" t="s">
        <v>258</v>
      </c>
      <c r="B752">
        <v>7</v>
      </c>
      <c r="C752">
        <v>37</v>
      </c>
    </row>
    <row r="753" spans="1:3">
      <c r="A753" t="s">
        <v>258</v>
      </c>
      <c r="B753">
        <v>8</v>
      </c>
      <c r="C753">
        <v>35</v>
      </c>
    </row>
    <row r="754" spans="1:3">
      <c r="A754" t="s">
        <v>258</v>
      </c>
      <c r="B754">
        <v>9</v>
      </c>
      <c r="C754">
        <v>22</v>
      </c>
    </row>
    <row r="755" spans="1:3">
      <c r="A755" t="s">
        <v>258</v>
      </c>
      <c r="B755">
        <v>10</v>
      </c>
      <c r="C755">
        <v>21</v>
      </c>
    </row>
    <row r="756" spans="1:3">
      <c r="A756" t="s">
        <v>258</v>
      </c>
      <c r="B756">
        <v>11</v>
      </c>
      <c r="C756">
        <v>26</v>
      </c>
    </row>
    <row r="757" spans="1:3">
      <c r="A757" t="s">
        <v>258</v>
      </c>
      <c r="B757">
        <v>12</v>
      </c>
      <c r="C757">
        <v>30</v>
      </c>
    </row>
    <row r="758" spans="1:3">
      <c r="A758" t="s">
        <v>258</v>
      </c>
      <c r="B758">
        <v>13</v>
      </c>
      <c r="C758">
        <v>26</v>
      </c>
    </row>
    <row r="759" spans="1:3">
      <c r="A759" t="s">
        <v>258</v>
      </c>
      <c r="B759">
        <v>14</v>
      </c>
      <c r="C759">
        <v>36</v>
      </c>
    </row>
    <row r="760" spans="1:3">
      <c r="A760" t="s">
        <v>258</v>
      </c>
      <c r="B760">
        <v>15</v>
      </c>
      <c r="C760">
        <v>33</v>
      </c>
    </row>
    <row r="761" spans="1:3">
      <c r="A761" t="s">
        <v>258</v>
      </c>
      <c r="B761">
        <v>16</v>
      </c>
      <c r="C761">
        <v>25</v>
      </c>
    </row>
    <row r="762" spans="1:3">
      <c r="A762" t="s">
        <v>258</v>
      </c>
      <c r="B762">
        <v>17</v>
      </c>
      <c r="C762">
        <v>24</v>
      </c>
    </row>
    <row r="763" spans="1:3">
      <c r="A763" t="s">
        <v>258</v>
      </c>
      <c r="B763">
        <v>18</v>
      </c>
      <c r="C763">
        <v>20</v>
      </c>
    </row>
    <row r="764" spans="1:3">
      <c r="A764" t="s">
        <v>258</v>
      </c>
      <c r="B764">
        <v>19</v>
      </c>
      <c r="C764">
        <v>19</v>
      </c>
    </row>
    <row r="765" spans="1:3">
      <c r="A765" t="s">
        <v>258</v>
      </c>
      <c r="B765">
        <v>20</v>
      </c>
      <c r="C765">
        <v>16</v>
      </c>
    </row>
    <row r="766" spans="1:3">
      <c r="A766" t="s">
        <v>258</v>
      </c>
      <c r="B766">
        <v>21</v>
      </c>
      <c r="C766">
        <v>15</v>
      </c>
    </row>
    <row r="767" spans="1:3">
      <c r="A767" t="s">
        <v>258</v>
      </c>
      <c r="B767">
        <v>22</v>
      </c>
      <c r="C767">
        <v>9</v>
      </c>
    </row>
    <row r="768" spans="1:3">
      <c r="A768" t="s">
        <v>258</v>
      </c>
      <c r="B768">
        <v>23</v>
      </c>
      <c r="C768">
        <v>7</v>
      </c>
    </row>
    <row r="769" spans="1:3">
      <c r="A769" t="s">
        <v>258</v>
      </c>
      <c r="B769">
        <v>24</v>
      </c>
      <c r="C769">
        <v>2</v>
      </c>
    </row>
    <row r="770" spans="1:3">
      <c r="A770" t="s">
        <v>185</v>
      </c>
      <c r="B770">
        <v>1</v>
      </c>
      <c r="C770">
        <v>0</v>
      </c>
    </row>
    <row r="771" spans="1:3">
      <c r="A771" t="s">
        <v>185</v>
      </c>
      <c r="B771">
        <v>2</v>
      </c>
      <c r="C771">
        <v>0</v>
      </c>
    </row>
    <row r="772" spans="1:3">
      <c r="A772" t="s">
        <v>185</v>
      </c>
      <c r="B772">
        <v>3</v>
      </c>
      <c r="C772">
        <v>0</v>
      </c>
    </row>
    <row r="773" spans="1:3">
      <c r="A773" t="s">
        <v>185</v>
      </c>
      <c r="B773">
        <v>4</v>
      </c>
      <c r="C773">
        <v>13</v>
      </c>
    </row>
    <row r="774" spans="1:3">
      <c r="A774" t="s">
        <v>185</v>
      </c>
      <c r="B774">
        <v>5</v>
      </c>
      <c r="C774">
        <v>49</v>
      </c>
    </row>
    <row r="775" spans="1:3">
      <c r="A775" t="s">
        <v>185</v>
      </c>
      <c r="B775">
        <v>6</v>
      </c>
      <c r="C775">
        <v>71</v>
      </c>
    </row>
    <row r="776" spans="1:3">
      <c r="A776" t="s">
        <v>185</v>
      </c>
      <c r="B776">
        <v>7</v>
      </c>
      <c r="C776">
        <v>82</v>
      </c>
    </row>
    <row r="777" spans="1:3">
      <c r="A777" t="s">
        <v>185</v>
      </c>
      <c r="B777">
        <v>8</v>
      </c>
      <c r="C777">
        <v>86</v>
      </c>
    </row>
    <row r="778" spans="1:3">
      <c r="A778" t="s">
        <v>185</v>
      </c>
      <c r="B778">
        <v>9</v>
      </c>
      <c r="C778">
        <v>80</v>
      </c>
    </row>
    <row r="779" spans="1:3">
      <c r="A779" t="s">
        <v>185</v>
      </c>
      <c r="B779">
        <v>10</v>
      </c>
      <c r="C779">
        <v>65</v>
      </c>
    </row>
    <row r="780" spans="1:3">
      <c r="A780" t="s">
        <v>185</v>
      </c>
      <c r="B780">
        <v>11</v>
      </c>
      <c r="C780">
        <v>74</v>
      </c>
    </row>
    <row r="781" spans="1:3">
      <c r="A781" t="s">
        <v>185</v>
      </c>
      <c r="B781">
        <v>12</v>
      </c>
      <c r="C781">
        <v>71</v>
      </c>
    </row>
    <row r="782" spans="1:3">
      <c r="A782" t="s">
        <v>185</v>
      </c>
      <c r="B782">
        <v>13</v>
      </c>
      <c r="C782">
        <v>92</v>
      </c>
    </row>
    <row r="783" spans="1:3">
      <c r="A783" t="s">
        <v>185</v>
      </c>
      <c r="B783">
        <v>14</v>
      </c>
      <c r="C783">
        <v>72</v>
      </c>
    </row>
    <row r="784" spans="1:3">
      <c r="A784" t="s">
        <v>185</v>
      </c>
      <c r="B784">
        <v>15</v>
      </c>
      <c r="C784">
        <v>71</v>
      </c>
    </row>
    <row r="785" spans="1:3">
      <c r="A785" t="s">
        <v>185</v>
      </c>
      <c r="B785">
        <v>16</v>
      </c>
      <c r="C785">
        <v>70</v>
      </c>
    </row>
    <row r="786" spans="1:3">
      <c r="A786" t="s">
        <v>185</v>
      </c>
      <c r="B786">
        <v>17</v>
      </c>
      <c r="C786">
        <v>64</v>
      </c>
    </row>
    <row r="787" spans="1:3">
      <c r="A787" t="s">
        <v>185</v>
      </c>
      <c r="B787">
        <v>18</v>
      </c>
      <c r="C787">
        <v>55</v>
      </c>
    </row>
    <row r="788" spans="1:3">
      <c r="A788" t="s">
        <v>185</v>
      </c>
      <c r="B788">
        <v>19</v>
      </c>
      <c r="C788">
        <v>58</v>
      </c>
    </row>
    <row r="789" spans="1:3">
      <c r="A789" t="s">
        <v>185</v>
      </c>
      <c r="B789">
        <v>20</v>
      </c>
      <c r="C789">
        <v>55</v>
      </c>
    </row>
    <row r="790" spans="1:3">
      <c r="A790" t="s">
        <v>185</v>
      </c>
      <c r="B790">
        <v>21</v>
      </c>
      <c r="C790">
        <v>45</v>
      </c>
    </row>
    <row r="791" spans="1:3">
      <c r="A791" t="s">
        <v>185</v>
      </c>
      <c r="B791">
        <v>22</v>
      </c>
      <c r="C791">
        <v>51</v>
      </c>
    </row>
    <row r="792" spans="1:3">
      <c r="A792" t="s">
        <v>185</v>
      </c>
      <c r="B792">
        <v>23</v>
      </c>
      <c r="C792">
        <v>39</v>
      </c>
    </row>
    <row r="793" spans="1:3">
      <c r="A793" t="s">
        <v>185</v>
      </c>
      <c r="B793">
        <v>24</v>
      </c>
      <c r="C793">
        <v>38</v>
      </c>
    </row>
    <row r="794" spans="1:3">
      <c r="A794" t="s">
        <v>233</v>
      </c>
      <c r="B794">
        <v>1</v>
      </c>
      <c r="C794">
        <v>0</v>
      </c>
    </row>
    <row r="795" spans="1:3">
      <c r="A795" t="s">
        <v>233</v>
      </c>
      <c r="B795">
        <v>2</v>
      </c>
      <c r="C795">
        <v>0</v>
      </c>
    </row>
    <row r="796" spans="1:3">
      <c r="A796" t="s">
        <v>233</v>
      </c>
      <c r="B796">
        <v>3</v>
      </c>
      <c r="C796">
        <v>0</v>
      </c>
    </row>
    <row r="797" spans="1:3">
      <c r="A797" t="s">
        <v>233</v>
      </c>
      <c r="B797">
        <v>4</v>
      </c>
      <c r="C797">
        <v>0</v>
      </c>
    </row>
    <row r="798" spans="1:3">
      <c r="A798" t="s">
        <v>233</v>
      </c>
      <c r="B798">
        <v>5</v>
      </c>
      <c r="C798">
        <v>42</v>
      </c>
    </row>
    <row r="799" spans="1:3">
      <c r="A799" t="s">
        <v>233</v>
      </c>
      <c r="B799">
        <v>6</v>
      </c>
      <c r="C799">
        <v>56</v>
      </c>
    </row>
    <row r="800" spans="1:3">
      <c r="A800" t="s">
        <v>233</v>
      </c>
      <c r="B800">
        <v>7</v>
      </c>
      <c r="C800">
        <v>61</v>
      </c>
    </row>
    <row r="801" spans="1:3">
      <c r="A801" t="s">
        <v>233</v>
      </c>
      <c r="B801">
        <v>8</v>
      </c>
      <c r="C801">
        <v>37</v>
      </c>
    </row>
    <row r="802" spans="1:3">
      <c r="A802" t="s">
        <v>233</v>
      </c>
      <c r="B802">
        <v>9</v>
      </c>
      <c r="C802">
        <v>40</v>
      </c>
    </row>
    <row r="803" spans="1:3">
      <c r="A803" t="s">
        <v>233</v>
      </c>
      <c r="B803">
        <v>10</v>
      </c>
      <c r="C803">
        <v>48</v>
      </c>
    </row>
    <row r="804" spans="1:3">
      <c r="A804" t="s">
        <v>233</v>
      </c>
      <c r="B804">
        <v>11</v>
      </c>
      <c r="C804">
        <v>48</v>
      </c>
    </row>
    <row r="805" spans="1:3">
      <c r="A805" t="s">
        <v>233</v>
      </c>
      <c r="B805">
        <v>12</v>
      </c>
      <c r="C805">
        <v>47</v>
      </c>
    </row>
    <row r="806" spans="1:3">
      <c r="A806" t="s">
        <v>233</v>
      </c>
      <c r="B806">
        <v>13</v>
      </c>
      <c r="C806">
        <v>35</v>
      </c>
    </row>
    <row r="807" spans="1:3">
      <c r="A807" t="s">
        <v>233</v>
      </c>
      <c r="B807">
        <v>14</v>
      </c>
      <c r="C807">
        <v>50</v>
      </c>
    </row>
    <row r="808" spans="1:3">
      <c r="A808" t="s">
        <v>233</v>
      </c>
      <c r="B808">
        <v>15</v>
      </c>
      <c r="C808">
        <v>53</v>
      </c>
    </row>
    <row r="809" spans="1:3">
      <c r="A809" t="s">
        <v>233</v>
      </c>
      <c r="B809">
        <v>16</v>
      </c>
      <c r="C809">
        <v>50</v>
      </c>
    </row>
    <row r="810" spans="1:3">
      <c r="A810" t="s">
        <v>233</v>
      </c>
      <c r="B810">
        <v>17</v>
      </c>
      <c r="C810">
        <v>48</v>
      </c>
    </row>
    <row r="811" spans="1:3">
      <c r="A811" t="s">
        <v>233</v>
      </c>
      <c r="B811">
        <v>18</v>
      </c>
      <c r="C811">
        <v>39</v>
      </c>
    </row>
    <row r="812" spans="1:3">
      <c r="A812" t="s">
        <v>233</v>
      </c>
      <c r="B812">
        <v>19</v>
      </c>
      <c r="C812">
        <v>38</v>
      </c>
    </row>
    <row r="813" spans="1:3">
      <c r="A813" t="s">
        <v>233</v>
      </c>
      <c r="B813">
        <v>20</v>
      </c>
      <c r="C813">
        <v>28</v>
      </c>
    </row>
    <row r="814" spans="1:3">
      <c r="A814" t="s">
        <v>233</v>
      </c>
      <c r="B814">
        <v>21</v>
      </c>
      <c r="C814">
        <v>24</v>
      </c>
    </row>
    <row r="815" spans="1:3">
      <c r="A815" t="s">
        <v>233</v>
      </c>
      <c r="B815">
        <v>22</v>
      </c>
      <c r="C815">
        <v>26</v>
      </c>
    </row>
    <row r="816" spans="1:3">
      <c r="A816" t="s">
        <v>233</v>
      </c>
      <c r="B816">
        <v>23</v>
      </c>
      <c r="C816">
        <v>15</v>
      </c>
    </row>
    <row r="817" spans="1:3">
      <c r="A817" t="s">
        <v>233</v>
      </c>
      <c r="B817">
        <v>24</v>
      </c>
      <c r="C817">
        <v>0</v>
      </c>
    </row>
    <row r="818" spans="1:3">
      <c r="A818" t="s">
        <v>192</v>
      </c>
      <c r="B818">
        <v>1</v>
      </c>
      <c r="C818">
        <v>0</v>
      </c>
    </row>
    <row r="819" spans="1:3">
      <c r="A819" t="s">
        <v>192</v>
      </c>
      <c r="B819">
        <v>2</v>
      </c>
      <c r="C819">
        <v>0</v>
      </c>
    </row>
    <row r="820" spans="1:3">
      <c r="A820" t="s">
        <v>192</v>
      </c>
      <c r="B820">
        <v>3</v>
      </c>
      <c r="C820">
        <v>0</v>
      </c>
    </row>
    <row r="821" spans="1:3">
      <c r="A821" t="s">
        <v>192</v>
      </c>
      <c r="B821">
        <v>4</v>
      </c>
      <c r="C821">
        <v>9</v>
      </c>
    </row>
    <row r="822" spans="1:3">
      <c r="A822" t="s">
        <v>192</v>
      </c>
      <c r="B822">
        <v>5</v>
      </c>
      <c r="C822">
        <v>35</v>
      </c>
    </row>
    <row r="823" spans="1:3">
      <c r="A823" t="s">
        <v>192</v>
      </c>
      <c r="B823">
        <v>6</v>
      </c>
      <c r="C823">
        <v>73</v>
      </c>
    </row>
    <row r="824" spans="1:3">
      <c r="A824" t="s">
        <v>192</v>
      </c>
      <c r="B824">
        <v>7</v>
      </c>
      <c r="C824">
        <v>81</v>
      </c>
    </row>
    <row r="825" spans="1:3">
      <c r="A825" t="s">
        <v>192</v>
      </c>
      <c r="B825">
        <v>8</v>
      </c>
      <c r="C825">
        <v>86</v>
      </c>
    </row>
    <row r="826" spans="1:3">
      <c r="A826" t="s">
        <v>192</v>
      </c>
      <c r="B826">
        <v>9</v>
      </c>
      <c r="C826">
        <v>68</v>
      </c>
    </row>
    <row r="827" spans="1:3">
      <c r="A827" t="s">
        <v>192</v>
      </c>
      <c r="B827">
        <v>10</v>
      </c>
      <c r="C827">
        <v>59</v>
      </c>
    </row>
    <row r="828" spans="1:3">
      <c r="A828" t="s">
        <v>192</v>
      </c>
      <c r="B828">
        <v>11</v>
      </c>
      <c r="C828">
        <v>60</v>
      </c>
    </row>
    <row r="829" spans="1:3">
      <c r="A829" t="s">
        <v>192</v>
      </c>
      <c r="B829">
        <v>12</v>
      </c>
      <c r="C829">
        <v>60</v>
      </c>
    </row>
    <row r="830" spans="1:3">
      <c r="A830" t="s">
        <v>192</v>
      </c>
      <c r="B830">
        <v>13</v>
      </c>
      <c r="C830">
        <v>66</v>
      </c>
    </row>
    <row r="831" spans="1:3">
      <c r="A831" t="s">
        <v>192</v>
      </c>
      <c r="B831">
        <v>14</v>
      </c>
      <c r="C831">
        <v>73</v>
      </c>
    </row>
    <row r="832" spans="1:3">
      <c r="A832" t="s">
        <v>192</v>
      </c>
      <c r="B832">
        <v>15</v>
      </c>
      <c r="C832">
        <v>78</v>
      </c>
    </row>
    <row r="833" spans="1:3">
      <c r="A833" t="s">
        <v>192</v>
      </c>
      <c r="B833">
        <v>16</v>
      </c>
      <c r="C833">
        <v>88</v>
      </c>
    </row>
    <row r="834" spans="1:3">
      <c r="A834" t="s">
        <v>192</v>
      </c>
      <c r="B834">
        <v>17</v>
      </c>
      <c r="C834">
        <v>77</v>
      </c>
    </row>
    <row r="835" spans="1:3">
      <c r="A835" t="s">
        <v>192</v>
      </c>
      <c r="B835">
        <v>18</v>
      </c>
      <c r="C835">
        <v>74</v>
      </c>
    </row>
    <row r="836" spans="1:3">
      <c r="A836" t="s">
        <v>192</v>
      </c>
      <c r="B836">
        <v>19</v>
      </c>
      <c r="C836">
        <v>66</v>
      </c>
    </row>
    <row r="837" spans="1:3">
      <c r="A837" t="s">
        <v>192</v>
      </c>
      <c r="B837">
        <v>20</v>
      </c>
      <c r="C837">
        <v>67</v>
      </c>
    </row>
    <row r="838" spans="1:3">
      <c r="A838" t="s">
        <v>192</v>
      </c>
      <c r="B838">
        <v>21</v>
      </c>
      <c r="C838">
        <v>55</v>
      </c>
    </row>
    <row r="839" spans="1:3">
      <c r="A839" t="s">
        <v>192</v>
      </c>
      <c r="B839">
        <v>22</v>
      </c>
      <c r="C839">
        <v>43</v>
      </c>
    </row>
    <row r="840" spans="1:3">
      <c r="A840" t="s">
        <v>192</v>
      </c>
      <c r="B840">
        <v>23</v>
      </c>
      <c r="C840">
        <v>72</v>
      </c>
    </row>
    <row r="841" spans="1:3">
      <c r="A841" t="s">
        <v>192</v>
      </c>
      <c r="B841">
        <v>24</v>
      </c>
      <c r="C841">
        <v>18</v>
      </c>
    </row>
    <row r="842" spans="1:3">
      <c r="A842" t="s">
        <v>175</v>
      </c>
      <c r="B842">
        <v>1</v>
      </c>
      <c r="C842">
        <v>0</v>
      </c>
    </row>
    <row r="843" spans="1:3">
      <c r="A843" t="s">
        <v>175</v>
      </c>
      <c r="B843">
        <v>2</v>
      </c>
      <c r="C843">
        <v>0</v>
      </c>
    </row>
    <row r="844" spans="1:3">
      <c r="A844" t="s">
        <v>175</v>
      </c>
      <c r="B844">
        <v>3</v>
      </c>
      <c r="C844">
        <v>0</v>
      </c>
    </row>
    <row r="845" spans="1:3">
      <c r="A845" t="s">
        <v>175</v>
      </c>
      <c r="B845">
        <v>4</v>
      </c>
      <c r="C845">
        <v>36</v>
      </c>
    </row>
    <row r="846" spans="1:3">
      <c r="A846" t="s">
        <v>175</v>
      </c>
      <c r="B846">
        <v>5</v>
      </c>
      <c r="C846">
        <v>50</v>
      </c>
    </row>
    <row r="847" spans="1:3">
      <c r="A847" t="s">
        <v>175</v>
      </c>
      <c r="B847">
        <v>6</v>
      </c>
      <c r="C847">
        <v>67</v>
      </c>
    </row>
    <row r="848" spans="1:3">
      <c r="A848" t="s">
        <v>175</v>
      </c>
      <c r="B848">
        <v>7</v>
      </c>
      <c r="C848">
        <v>98</v>
      </c>
    </row>
    <row r="849" spans="1:3">
      <c r="A849" t="s">
        <v>175</v>
      </c>
      <c r="B849">
        <v>8</v>
      </c>
      <c r="C849">
        <v>96</v>
      </c>
    </row>
    <row r="850" spans="1:3">
      <c r="A850" t="s">
        <v>175</v>
      </c>
      <c r="B850">
        <v>9</v>
      </c>
      <c r="C850">
        <v>95</v>
      </c>
    </row>
    <row r="851" spans="1:3">
      <c r="A851" t="s">
        <v>175</v>
      </c>
      <c r="B851">
        <v>10</v>
      </c>
      <c r="C851">
        <v>100</v>
      </c>
    </row>
    <row r="852" spans="1:3">
      <c r="A852" t="s">
        <v>175</v>
      </c>
      <c r="B852">
        <v>11</v>
      </c>
      <c r="C852">
        <v>96</v>
      </c>
    </row>
    <row r="853" spans="1:3">
      <c r="A853" t="s">
        <v>175</v>
      </c>
      <c r="B853">
        <v>12</v>
      </c>
      <c r="C853">
        <v>85</v>
      </c>
    </row>
    <row r="854" spans="1:3">
      <c r="A854" t="s">
        <v>175</v>
      </c>
      <c r="B854">
        <v>13</v>
      </c>
      <c r="C854">
        <v>89</v>
      </c>
    </row>
    <row r="855" spans="1:3">
      <c r="A855" t="s">
        <v>175</v>
      </c>
      <c r="B855">
        <v>14</v>
      </c>
      <c r="C855">
        <v>115</v>
      </c>
    </row>
    <row r="856" spans="1:3">
      <c r="A856" t="s">
        <v>175</v>
      </c>
      <c r="B856">
        <v>15</v>
      </c>
      <c r="C856">
        <v>109</v>
      </c>
    </row>
    <row r="857" spans="1:3">
      <c r="A857" t="s">
        <v>175</v>
      </c>
      <c r="B857">
        <v>16</v>
      </c>
      <c r="C857">
        <v>76</v>
      </c>
    </row>
    <row r="858" spans="1:3">
      <c r="A858" t="s">
        <v>175</v>
      </c>
      <c r="B858">
        <v>17</v>
      </c>
      <c r="C858">
        <v>60</v>
      </c>
    </row>
    <row r="859" spans="1:3">
      <c r="A859" t="s">
        <v>175</v>
      </c>
      <c r="B859">
        <v>18</v>
      </c>
      <c r="C859">
        <v>60</v>
      </c>
    </row>
    <row r="860" spans="1:3">
      <c r="A860" t="s">
        <v>175</v>
      </c>
      <c r="B860">
        <v>19</v>
      </c>
      <c r="C860">
        <v>64</v>
      </c>
    </row>
    <row r="861" spans="1:3">
      <c r="A861" t="s">
        <v>175</v>
      </c>
      <c r="B861">
        <v>20</v>
      </c>
      <c r="C861">
        <v>54</v>
      </c>
    </row>
    <row r="862" spans="1:3">
      <c r="A862" t="s">
        <v>175</v>
      </c>
      <c r="B862">
        <v>21</v>
      </c>
      <c r="C862">
        <v>64</v>
      </c>
    </row>
    <row r="863" spans="1:3">
      <c r="A863" t="s">
        <v>175</v>
      </c>
      <c r="B863">
        <v>22</v>
      </c>
      <c r="C863">
        <v>39</v>
      </c>
    </row>
    <row r="864" spans="1:3">
      <c r="A864" t="s">
        <v>175</v>
      </c>
      <c r="B864">
        <v>23</v>
      </c>
      <c r="C864">
        <v>29</v>
      </c>
    </row>
    <row r="865" spans="1:3">
      <c r="A865" t="s">
        <v>175</v>
      </c>
      <c r="B865">
        <v>24</v>
      </c>
      <c r="C865">
        <v>8</v>
      </c>
    </row>
    <row r="866" spans="1:3">
      <c r="A866" t="s">
        <v>223</v>
      </c>
      <c r="B866">
        <v>1</v>
      </c>
      <c r="C866">
        <v>0</v>
      </c>
    </row>
    <row r="867" spans="1:3">
      <c r="A867" t="s">
        <v>223</v>
      </c>
      <c r="B867">
        <v>2</v>
      </c>
      <c r="C867">
        <v>0</v>
      </c>
    </row>
    <row r="868" spans="1:3">
      <c r="A868" t="s">
        <v>223</v>
      </c>
      <c r="B868">
        <v>3</v>
      </c>
      <c r="C868">
        <v>0</v>
      </c>
    </row>
    <row r="869" spans="1:3">
      <c r="A869" t="s">
        <v>223</v>
      </c>
      <c r="B869">
        <v>4</v>
      </c>
      <c r="C869">
        <v>16</v>
      </c>
    </row>
    <row r="870" spans="1:3">
      <c r="A870" t="s">
        <v>223</v>
      </c>
      <c r="B870">
        <v>5</v>
      </c>
      <c r="C870">
        <v>24</v>
      </c>
    </row>
    <row r="871" spans="1:3">
      <c r="A871" t="s">
        <v>223</v>
      </c>
      <c r="B871">
        <v>6</v>
      </c>
      <c r="C871">
        <v>37</v>
      </c>
    </row>
    <row r="872" spans="1:3">
      <c r="A872" t="s">
        <v>223</v>
      </c>
      <c r="B872">
        <v>7</v>
      </c>
      <c r="C872">
        <v>72</v>
      </c>
    </row>
    <row r="873" spans="1:3">
      <c r="A873" t="s">
        <v>223</v>
      </c>
      <c r="B873">
        <v>8</v>
      </c>
      <c r="C873">
        <v>49</v>
      </c>
    </row>
    <row r="874" spans="1:3">
      <c r="A874" t="s">
        <v>223</v>
      </c>
      <c r="B874">
        <v>9</v>
      </c>
      <c r="C874">
        <v>70</v>
      </c>
    </row>
    <row r="875" spans="1:3">
      <c r="A875" t="s">
        <v>223</v>
      </c>
      <c r="B875">
        <v>10</v>
      </c>
      <c r="C875">
        <v>44</v>
      </c>
    </row>
    <row r="876" spans="1:3">
      <c r="A876" t="s">
        <v>223</v>
      </c>
      <c r="B876">
        <v>11</v>
      </c>
      <c r="C876">
        <v>45</v>
      </c>
    </row>
    <row r="877" spans="1:3">
      <c r="A877" t="s">
        <v>223</v>
      </c>
      <c r="B877">
        <v>12</v>
      </c>
      <c r="C877">
        <v>53</v>
      </c>
    </row>
    <row r="878" spans="1:3">
      <c r="A878" t="s">
        <v>223</v>
      </c>
      <c r="B878">
        <v>13</v>
      </c>
      <c r="C878">
        <v>53</v>
      </c>
    </row>
    <row r="879" spans="1:3">
      <c r="A879" t="s">
        <v>223</v>
      </c>
      <c r="B879">
        <v>14</v>
      </c>
      <c r="C879">
        <v>56</v>
      </c>
    </row>
    <row r="880" spans="1:3">
      <c r="A880" t="s">
        <v>223</v>
      </c>
      <c r="B880">
        <v>15</v>
      </c>
      <c r="C880">
        <v>59</v>
      </c>
    </row>
    <row r="881" spans="1:3">
      <c r="A881" t="s">
        <v>223</v>
      </c>
      <c r="B881">
        <v>16</v>
      </c>
      <c r="C881">
        <v>53</v>
      </c>
    </row>
    <row r="882" spans="1:3">
      <c r="A882" t="s">
        <v>223</v>
      </c>
      <c r="B882">
        <v>17</v>
      </c>
      <c r="C882">
        <v>62</v>
      </c>
    </row>
    <row r="883" spans="1:3">
      <c r="A883" t="s">
        <v>223</v>
      </c>
      <c r="B883">
        <v>18</v>
      </c>
      <c r="C883">
        <v>52</v>
      </c>
    </row>
    <row r="884" spans="1:3">
      <c r="A884" t="s">
        <v>223</v>
      </c>
      <c r="B884">
        <v>19</v>
      </c>
      <c r="C884">
        <v>44</v>
      </c>
    </row>
    <row r="885" spans="1:3">
      <c r="A885" t="s">
        <v>223</v>
      </c>
      <c r="B885">
        <v>20</v>
      </c>
      <c r="C885">
        <v>40</v>
      </c>
    </row>
    <row r="886" spans="1:3">
      <c r="A886" t="s">
        <v>223</v>
      </c>
      <c r="B886">
        <v>21</v>
      </c>
      <c r="C886">
        <v>37</v>
      </c>
    </row>
    <row r="887" spans="1:3">
      <c r="A887" t="s">
        <v>223</v>
      </c>
      <c r="B887">
        <v>22</v>
      </c>
      <c r="C887">
        <v>27</v>
      </c>
    </row>
    <row r="888" spans="1:3">
      <c r="A888" t="s">
        <v>223</v>
      </c>
      <c r="B888">
        <v>23</v>
      </c>
      <c r="C888">
        <v>16</v>
      </c>
    </row>
    <row r="889" spans="1:3">
      <c r="A889" t="s">
        <v>223</v>
      </c>
      <c r="B889">
        <v>24</v>
      </c>
      <c r="C889">
        <v>5</v>
      </c>
    </row>
    <row r="890" spans="1:3">
      <c r="A890" t="s">
        <v>228</v>
      </c>
      <c r="B890">
        <v>1</v>
      </c>
      <c r="C890">
        <v>0</v>
      </c>
    </row>
    <row r="891" spans="1:3">
      <c r="A891" t="s">
        <v>228</v>
      </c>
      <c r="B891">
        <v>2</v>
      </c>
      <c r="C891">
        <v>0</v>
      </c>
    </row>
    <row r="892" spans="1:3">
      <c r="A892" t="s">
        <v>228</v>
      </c>
      <c r="B892">
        <v>3</v>
      </c>
      <c r="C892">
        <v>0</v>
      </c>
    </row>
    <row r="893" spans="1:3">
      <c r="A893" t="s">
        <v>228</v>
      </c>
      <c r="B893">
        <v>4</v>
      </c>
      <c r="C893">
        <v>12</v>
      </c>
    </row>
    <row r="894" spans="1:3">
      <c r="A894" t="s">
        <v>228</v>
      </c>
      <c r="B894">
        <v>5</v>
      </c>
      <c r="C894">
        <v>26</v>
      </c>
    </row>
    <row r="895" spans="1:3">
      <c r="A895" t="s">
        <v>228</v>
      </c>
      <c r="B895">
        <v>6</v>
      </c>
      <c r="C895">
        <v>40</v>
      </c>
    </row>
    <row r="896" spans="1:3">
      <c r="A896" t="s">
        <v>228</v>
      </c>
      <c r="B896">
        <v>7</v>
      </c>
      <c r="C896">
        <v>51</v>
      </c>
    </row>
    <row r="897" spans="1:3">
      <c r="A897" t="s">
        <v>228</v>
      </c>
      <c r="B897">
        <v>8</v>
      </c>
      <c r="C897">
        <v>46</v>
      </c>
    </row>
    <row r="898" spans="1:3">
      <c r="A898" t="s">
        <v>228</v>
      </c>
      <c r="B898">
        <v>9</v>
      </c>
      <c r="C898">
        <v>45</v>
      </c>
    </row>
    <row r="899" spans="1:3">
      <c r="A899" t="s">
        <v>228</v>
      </c>
      <c r="B899">
        <v>10</v>
      </c>
      <c r="C899">
        <v>42</v>
      </c>
    </row>
    <row r="900" spans="1:3">
      <c r="A900" t="s">
        <v>228</v>
      </c>
      <c r="B900">
        <v>11</v>
      </c>
      <c r="C900">
        <v>50</v>
      </c>
    </row>
    <row r="901" spans="1:3">
      <c r="A901" t="s">
        <v>228</v>
      </c>
      <c r="B901">
        <v>12</v>
      </c>
      <c r="C901">
        <v>51</v>
      </c>
    </row>
    <row r="902" spans="1:3">
      <c r="A902" t="s">
        <v>228</v>
      </c>
      <c r="B902">
        <v>13</v>
      </c>
      <c r="C902">
        <v>49</v>
      </c>
    </row>
    <row r="903" spans="1:3">
      <c r="A903" t="s">
        <v>228</v>
      </c>
      <c r="B903">
        <v>14</v>
      </c>
      <c r="C903">
        <v>53</v>
      </c>
    </row>
    <row r="904" spans="1:3">
      <c r="A904" t="s">
        <v>228</v>
      </c>
      <c r="B904">
        <v>15</v>
      </c>
      <c r="C904">
        <v>68</v>
      </c>
    </row>
    <row r="905" spans="1:3">
      <c r="A905" t="s">
        <v>228</v>
      </c>
      <c r="B905">
        <v>16</v>
      </c>
      <c r="C905">
        <v>64</v>
      </c>
    </row>
    <row r="906" spans="1:3">
      <c r="A906" t="s">
        <v>228</v>
      </c>
      <c r="B906">
        <v>17</v>
      </c>
      <c r="C906">
        <v>56</v>
      </c>
    </row>
    <row r="907" spans="1:3">
      <c r="A907" t="s">
        <v>228</v>
      </c>
      <c r="B907">
        <v>18</v>
      </c>
      <c r="C907">
        <v>61</v>
      </c>
    </row>
    <row r="908" spans="1:3">
      <c r="A908" t="s">
        <v>228</v>
      </c>
      <c r="B908">
        <v>19</v>
      </c>
      <c r="C908">
        <v>56</v>
      </c>
    </row>
    <row r="909" spans="1:3">
      <c r="A909" t="s">
        <v>228</v>
      </c>
      <c r="B909">
        <v>20</v>
      </c>
      <c r="C909">
        <v>53</v>
      </c>
    </row>
    <row r="910" spans="1:3">
      <c r="A910" t="s">
        <v>228</v>
      </c>
      <c r="B910">
        <v>21</v>
      </c>
      <c r="C910">
        <v>60</v>
      </c>
    </row>
    <row r="911" spans="1:3">
      <c r="A911" t="s">
        <v>228</v>
      </c>
      <c r="B911">
        <v>22</v>
      </c>
      <c r="C911">
        <v>48</v>
      </c>
    </row>
    <row r="912" spans="1:3">
      <c r="A912" t="s">
        <v>228</v>
      </c>
      <c r="B912">
        <v>23</v>
      </c>
      <c r="C912">
        <v>46</v>
      </c>
    </row>
    <row r="913" spans="1:3">
      <c r="A913" t="s">
        <v>228</v>
      </c>
      <c r="B913">
        <v>24</v>
      </c>
      <c r="C913">
        <v>18</v>
      </c>
    </row>
    <row r="914" spans="1:3">
      <c r="A914" t="s">
        <v>214</v>
      </c>
      <c r="B914">
        <v>1</v>
      </c>
      <c r="C914">
        <v>0</v>
      </c>
    </row>
    <row r="915" spans="1:3">
      <c r="A915" t="s">
        <v>214</v>
      </c>
      <c r="B915">
        <v>2</v>
      </c>
      <c r="C915">
        <v>0</v>
      </c>
    </row>
    <row r="916" spans="1:3">
      <c r="A916" t="s">
        <v>214</v>
      </c>
      <c r="B916">
        <v>3</v>
      </c>
      <c r="C916">
        <v>0</v>
      </c>
    </row>
    <row r="917" spans="1:3">
      <c r="A917" t="s">
        <v>214</v>
      </c>
      <c r="B917">
        <v>4</v>
      </c>
      <c r="C917">
        <v>18</v>
      </c>
    </row>
    <row r="918" spans="1:3">
      <c r="A918" t="s">
        <v>214</v>
      </c>
      <c r="B918">
        <v>5</v>
      </c>
      <c r="C918">
        <v>40</v>
      </c>
    </row>
    <row r="919" spans="1:3">
      <c r="A919" t="s">
        <v>214</v>
      </c>
      <c r="B919">
        <v>6</v>
      </c>
      <c r="C919">
        <v>36</v>
      </c>
    </row>
    <row r="920" spans="1:3">
      <c r="A920" t="s">
        <v>214</v>
      </c>
      <c r="B920">
        <v>7</v>
      </c>
      <c r="C920">
        <v>61</v>
      </c>
    </row>
    <row r="921" spans="1:3">
      <c r="A921" t="s">
        <v>214</v>
      </c>
      <c r="B921">
        <v>8</v>
      </c>
      <c r="C921">
        <v>75</v>
      </c>
    </row>
    <row r="922" spans="1:3">
      <c r="A922" t="s">
        <v>214</v>
      </c>
      <c r="B922">
        <v>9</v>
      </c>
      <c r="C922">
        <v>76</v>
      </c>
    </row>
    <row r="923" spans="1:3">
      <c r="A923" t="s">
        <v>214</v>
      </c>
      <c r="B923">
        <v>10</v>
      </c>
      <c r="C923">
        <v>43</v>
      </c>
    </row>
    <row r="924" spans="1:3">
      <c r="A924" t="s">
        <v>214</v>
      </c>
      <c r="B924">
        <v>11</v>
      </c>
      <c r="C924">
        <v>52</v>
      </c>
    </row>
    <row r="925" spans="1:3">
      <c r="A925" t="s">
        <v>214</v>
      </c>
      <c r="B925">
        <v>12</v>
      </c>
      <c r="C925">
        <v>53</v>
      </c>
    </row>
    <row r="926" spans="1:3">
      <c r="A926" t="s">
        <v>214</v>
      </c>
      <c r="B926">
        <v>13</v>
      </c>
      <c r="C926">
        <v>69</v>
      </c>
    </row>
    <row r="927" spans="1:3">
      <c r="A927" t="s">
        <v>214</v>
      </c>
      <c r="B927">
        <v>14</v>
      </c>
      <c r="C927">
        <v>51</v>
      </c>
    </row>
    <row r="928" spans="1:3">
      <c r="A928" t="s">
        <v>214</v>
      </c>
      <c r="B928">
        <v>15</v>
      </c>
      <c r="C928">
        <v>65</v>
      </c>
    </row>
    <row r="929" spans="1:3">
      <c r="A929" t="s">
        <v>214</v>
      </c>
      <c r="B929">
        <v>16</v>
      </c>
      <c r="C929">
        <v>62</v>
      </c>
    </row>
    <row r="930" spans="1:3">
      <c r="A930" t="s">
        <v>214</v>
      </c>
      <c r="B930">
        <v>17</v>
      </c>
      <c r="C930">
        <v>50</v>
      </c>
    </row>
    <row r="931" spans="1:3">
      <c r="A931" t="s">
        <v>214</v>
      </c>
      <c r="B931">
        <v>18</v>
      </c>
      <c r="C931">
        <v>49</v>
      </c>
    </row>
    <row r="932" spans="1:3">
      <c r="A932" t="s">
        <v>214</v>
      </c>
      <c r="B932">
        <v>19</v>
      </c>
      <c r="C932">
        <v>67</v>
      </c>
    </row>
    <row r="933" spans="1:3">
      <c r="A933" t="s">
        <v>214</v>
      </c>
      <c r="B933">
        <v>20</v>
      </c>
      <c r="C933">
        <v>45</v>
      </c>
    </row>
    <row r="934" spans="1:3">
      <c r="A934" t="s">
        <v>214</v>
      </c>
      <c r="B934">
        <v>21</v>
      </c>
      <c r="C934">
        <v>42</v>
      </c>
    </row>
    <row r="935" spans="1:3">
      <c r="A935" t="s">
        <v>214</v>
      </c>
      <c r="B935">
        <v>22</v>
      </c>
      <c r="C935">
        <v>28</v>
      </c>
    </row>
    <row r="936" spans="1:3">
      <c r="A936" t="s">
        <v>214</v>
      </c>
      <c r="B936">
        <v>23</v>
      </c>
      <c r="C936">
        <v>20</v>
      </c>
    </row>
    <row r="937" spans="1:3">
      <c r="A937" t="s">
        <v>214</v>
      </c>
      <c r="B937">
        <v>24</v>
      </c>
      <c r="C937">
        <v>5</v>
      </c>
    </row>
    <row r="938" spans="1:3">
      <c r="A938" t="s">
        <v>230</v>
      </c>
      <c r="B938">
        <v>1</v>
      </c>
      <c r="C938">
        <v>0</v>
      </c>
    </row>
    <row r="939" spans="1:3">
      <c r="A939" t="s">
        <v>230</v>
      </c>
      <c r="B939">
        <v>2</v>
      </c>
      <c r="C939">
        <v>0</v>
      </c>
    </row>
    <row r="940" spans="1:3">
      <c r="A940" t="s">
        <v>230</v>
      </c>
      <c r="B940">
        <v>3</v>
      </c>
      <c r="C940">
        <v>0</v>
      </c>
    </row>
    <row r="941" spans="1:3">
      <c r="A941" t="s">
        <v>230</v>
      </c>
      <c r="B941">
        <v>4</v>
      </c>
      <c r="C941">
        <v>16</v>
      </c>
    </row>
    <row r="942" spans="1:3">
      <c r="A942" t="s">
        <v>230</v>
      </c>
      <c r="B942">
        <v>5</v>
      </c>
      <c r="C942">
        <v>34</v>
      </c>
    </row>
    <row r="943" spans="1:3">
      <c r="A943" t="s">
        <v>230</v>
      </c>
      <c r="B943">
        <v>6</v>
      </c>
      <c r="C943">
        <v>62</v>
      </c>
    </row>
    <row r="944" spans="1:3">
      <c r="A944" t="s">
        <v>230</v>
      </c>
      <c r="B944">
        <v>7</v>
      </c>
      <c r="C944">
        <v>52</v>
      </c>
    </row>
    <row r="945" spans="1:3">
      <c r="A945" t="s">
        <v>230</v>
      </c>
      <c r="B945">
        <v>8</v>
      </c>
      <c r="C945">
        <v>44</v>
      </c>
    </row>
    <row r="946" spans="1:3">
      <c r="A946" t="s">
        <v>230</v>
      </c>
      <c r="B946">
        <v>9</v>
      </c>
      <c r="C946">
        <v>65</v>
      </c>
    </row>
    <row r="947" spans="1:3">
      <c r="A947" t="s">
        <v>230</v>
      </c>
      <c r="B947">
        <v>10</v>
      </c>
      <c r="C947">
        <v>33</v>
      </c>
    </row>
    <row r="948" spans="1:3">
      <c r="A948" t="s">
        <v>230</v>
      </c>
      <c r="B948">
        <v>11</v>
      </c>
      <c r="C948">
        <v>33</v>
      </c>
    </row>
    <row r="949" spans="1:3">
      <c r="A949" t="s">
        <v>230</v>
      </c>
      <c r="B949">
        <v>12</v>
      </c>
      <c r="C949">
        <v>34</v>
      </c>
    </row>
    <row r="950" spans="1:3">
      <c r="A950" t="s">
        <v>230</v>
      </c>
      <c r="B950">
        <v>13</v>
      </c>
      <c r="C950">
        <v>45</v>
      </c>
    </row>
    <row r="951" spans="1:3">
      <c r="A951" t="s">
        <v>230</v>
      </c>
      <c r="B951">
        <v>14</v>
      </c>
      <c r="C951">
        <v>42</v>
      </c>
    </row>
    <row r="952" spans="1:3">
      <c r="A952" t="s">
        <v>230</v>
      </c>
      <c r="B952">
        <v>15</v>
      </c>
      <c r="C952">
        <v>51</v>
      </c>
    </row>
    <row r="953" spans="1:3">
      <c r="A953" t="s">
        <v>230</v>
      </c>
      <c r="B953">
        <v>16</v>
      </c>
      <c r="C953">
        <v>47</v>
      </c>
    </row>
    <row r="954" spans="1:3">
      <c r="A954" t="s">
        <v>230</v>
      </c>
      <c r="B954">
        <v>17</v>
      </c>
      <c r="C954">
        <v>40</v>
      </c>
    </row>
    <row r="955" spans="1:3">
      <c r="A955" t="s">
        <v>230</v>
      </c>
      <c r="B955">
        <v>18</v>
      </c>
      <c r="C955">
        <v>44</v>
      </c>
    </row>
    <row r="956" spans="1:3">
      <c r="A956" t="s">
        <v>230</v>
      </c>
      <c r="B956">
        <v>19</v>
      </c>
      <c r="C956">
        <v>43</v>
      </c>
    </row>
    <row r="957" spans="1:3">
      <c r="A957" t="s">
        <v>230</v>
      </c>
      <c r="B957">
        <v>20</v>
      </c>
      <c r="C957">
        <v>24</v>
      </c>
    </row>
    <row r="958" spans="1:3">
      <c r="A958" t="s">
        <v>230</v>
      </c>
      <c r="B958">
        <v>21</v>
      </c>
      <c r="C958">
        <v>25</v>
      </c>
    </row>
    <row r="959" spans="1:3">
      <c r="A959" t="s">
        <v>230</v>
      </c>
      <c r="B959">
        <v>22</v>
      </c>
      <c r="C959">
        <v>18</v>
      </c>
    </row>
    <row r="960" spans="1:3">
      <c r="A960" t="s">
        <v>230</v>
      </c>
      <c r="B960">
        <v>23</v>
      </c>
      <c r="C960">
        <v>8</v>
      </c>
    </row>
    <row r="961" spans="1:3">
      <c r="A961" t="s">
        <v>230</v>
      </c>
      <c r="B961">
        <v>24</v>
      </c>
      <c r="C961">
        <v>2</v>
      </c>
    </row>
    <row r="962" spans="1:3">
      <c r="A962" t="s">
        <v>173</v>
      </c>
      <c r="B962">
        <v>1</v>
      </c>
      <c r="C962">
        <v>48</v>
      </c>
    </row>
    <row r="963" spans="1:3">
      <c r="A963" t="s">
        <v>173</v>
      </c>
      <c r="B963">
        <v>2</v>
      </c>
      <c r="C963">
        <v>14</v>
      </c>
    </row>
    <row r="964" spans="1:3">
      <c r="A964" t="s">
        <v>173</v>
      </c>
      <c r="B964">
        <v>3</v>
      </c>
      <c r="C964">
        <v>4</v>
      </c>
    </row>
    <row r="965" spans="1:3">
      <c r="A965" t="s">
        <v>173</v>
      </c>
      <c r="B965">
        <v>4</v>
      </c>
      <c r="C965">
        <v>13</v>
      </c>
    </row>
    <row r="966" spans="1:3">
      <c r="A966" t="s">
        <v>173</v>
      </c>
      <c r="B966">
        <v>5</v>
      </c>
      <c r="C966">
        <v>29</v>
      </c>
    </row>
    <row r="967" spans="1:3">
      <c r="A967" t="s">
        <v>173</v>
      </c>
      <c r="B967">
        <v>6</v>
      </c>
      <c r="C967">
        <v>73</v>
      </c>
    </row>
    <row r="968" spans="1:3">
      <c r="A968" t="s">
        <v>173</v>
      </c>
      <c r="B968">
        <v>7</v>
      </c>
      <c r="C968">
        <v>77</v>
      </c>
    </row>
    <row r="969" spans="1:3">
      <c r="A969" t="s">
        <v>173</v>
      </c>
      <c r="B969">
        <v>8</v>
      </c>
      <c r="C969">
        <v>65</v>
      </c>
    </row>
    <row r="970" spans="1:3">
      <c r="A970" t="s">
        <v>173</v>
      </c>
      <c r="B970">
        <v>9</v>
      </c>
      <c r="C970">
        <v>67</v>
      </c>
    </row>
    <row r="971" spans="1:3">
      <c r="A971" t="s">
        <v>173</v>
      </c>
      <c r="B971">
        <v>10</v>
      </c>
      <c r="C971">
        <v>83</v>
      </c>
    </row>
    <row r="972" spans="1:3">
      <c r="A972" t="s">
        <v>173</v>
      </c>
      <c r="B972">
        <v>11</v>
      </c>
      <c r="C972">
        <v>100</v>
      </c>
    </row>
    <row r="973" spans="1:3">
      <c r="A973" t="s">
        <v>173</v>
      </c>
      <c r="B973">
        <v>12</v>
      </c>
      <c r="C973">
        <v>103</v>
      </c>
    </row>
    <row r="974" spans="1:3">
      <c r="A974" t="s">
        <v>173</v>
      </c>
      <c r="B974">
        <v>13</v>
      </c>
      <c r="C974">
        <v>100</v>
      </c>
    </row>
    <row r="975" spans="1:3">
      <c r="A975" t="s">
        <v>173</v>
      </c>
      <c r="B975">
        <v>14</v>
      </c>
      <c r="C975">
        <v>102</v>
      </c>
    </row>
    <row r="976" spans="1:3">
      <c r="A976" t="s">
        <v>173</v>
      </c>
      <c r="B976">
        <v>15</v>
      </c>
      <c r="C976">
        <v>104</v>
      </c>
    </row>
    <row r="977" spans="1:3">
      <c r="A977" t="s">
        <v>173</v>
      </c>
      <c r="B977">
        <v>16</v>
      </c>
      <c r="C977">
        <v>82</v>
      </c>
    </row>
    <row r="978" spans="1:3">
      <c r="A978" t="s">
        <v>173</v>
      </c>
      <c r="B978">
        <v>17</v>
      </c>
      <c r="C978">
        <v>77</v>
      </c>
    </row>
    <row r="979" spans="1:3">
      <c r="A979" t="s">
        <v>173</v>
      </c>
      <c r="B979">
        <v>18</v>
      </c>
      <c r="C979">
        <v>116</v>
      </c>
    </row>
    <row r="980" spans="1:3">
      <c r="A980" t="s">
        <v>173</v>
      </c>
      <c r="B980">
        <v>19</v>
      </c>
      <c r="C980">
        <v>119</v>
      </c>
    </row>
    <row r="981" spans="1:3">
      <c r="A981" t="s">
        <v>173</v>
      </c>
      <c r="B981">
        <v>20</v>
      </c>
      <c r="C981">
        <v>117</v>
      </c>
    </row>
    <row r="982" spans="1:3">
      <c r="A982" t="s">
        <v>173</v>
      </c>
      <c r="B982">
        <v>21</v>
      </c>
      <c r="C982">
        <v>101</v>
      </c>
    </row>
    <row r="983" spans="1:3">
      <c r="A983" t="s">
        <v>173</v>
      </c>
      <c r="B983">
        <v>22</v>
      </c>
      <c r="C983">
        <v>46</v>
      </c>
    </row>
    <row r="984" spans="1:3">
      <c r="A984" t="s">
        <v>173</v>
      </c>
      <c r="B984">
        <v>23</v>
      </c>
      <c r="C984">
        <v>23</v>
      </c>
    </row>
    <row r="985" spans="1:3">
      <c r="A985" t="s">
        <v>173</v>
      </c>
      <c r="B985">
        <v>24</v>
      </c>
      <c r="C985">
        <v>17</v>
      </c>
    </row>
    <row r="986" spans="1:3">
      <c r="A986" t="s">
        <v>213</v>
      </c>
      <c r="B986">
        <v>1</v>
      </c>
      <c r="C986">
        <v>0</v>
      </c>
    </row>
    <row r="987" spans="1:3">
      <c r="A987" t="s">
        <v>213</v>
      </c>
      <c r="B987">
        <v>2</v>
      </c>
      <c r="C987">
        <v>0</v>
      </c>
    </row>
    <row r="988" spans="1:3">
      <c r="A988" t="s">
        <v>213</v>
      </c>
      <c r="B988">
        <v>3</v>
      </c>
      <c r="C988">
        <v>0</v>
      </c>
    </row>
    <row r="989" spans="1:3">
      <c r="A989" t="s">
        <v>213</v>
      </c>
      <c r="B989">
        <v>4</v>
      </c>
      <c r="C989">
        <v>22</v>
      </c>
    </row>
    <row r="990" spans="1:3">
      <c r="A990" t="s">
        <v>213</v>
      </c>
      <c r="B990">
        <v>5</v>
      </c>
      <c r="C990">
        <v>15</v>
      </c>
    </row>
    <row r="991" spans="1:3">
      <c r="A991" t="s">
        <v>213</v>
      </c>
      <c r="B991">
        <v>6</v>
      </c>
      <c r="C991">
        <v>19</v>
      </c>
    </row>
    <row r="992" spans="1:3">
      <c r="A992" t="s">
        <v>213</v>
      </c>
      <c r="B992">
        <v>7</v>
      </c>
      <c r="C992">
        <v>28</v>
      </c>
    </row>
    <row r="993" spans="1:3">
      <c r="A993" t="s">
        <v>213</v>
      </c>
      <c r="B993">
        <v>8</v>
      </c>
      <c r="C993">
        <v>22</v>
      </c>
    </row>
    <row r="994" spans="1:3">
      <c r="A994" t="s">
        <v>213</v>
      </c>
      <c r="B994">
        <v>9</v>
      </c>
      <c r="C994">
        <v>30</v>
      </c>
    </row>
    <row r="995" spans="1:3">
      <c r="A995" t="s">
        <v>213</v>
      </c>
      <c r="B995">
        <v>10</v>
      </c>
      <c r="C995">
        <v>42</v>
      </c>
    </row>
    <row r="996" spans="1:3">
      <c r="A996" t="s">
        <v>213</v>
      </c>
      <c r="B996">
        <v>11</v>
      </c>
      <c r="C996">
        <v>67</v>
      </c>
    </row>
    <row r="997" spans="1:3">
      <c r="A997" t="s">
        <v>213</v>
      </c>
      <c r="B997">
        <v>12</v>
      </c>
      <c r="C997">
        <v>77</v>
      </c>
    </row>
    <row r="998" spans="1:3">
      <c r="A998" t="s">
        <v>213</v>
      </c>
      <c r="B998">
        <v>13</v>
      </c>
      <c r="C998">
        <v>71</v>
      </c>
    </row>
    <row r="999" spans="1:3">
      <c r="A999" t="s">
        <v>213</v>
      </c>
      <c r="B999">
        <v>14</v>
      </c>
      <c r="C999">
        <v>72</v>
      </c>
    </row>
    <row r="1000" spans="1:3">
      <c r="A1000" t="s">
        <v>213</v>
      </c>
      <c r="B1000">
        <v>15</v>
      </c>
      <c r="C1000">
        <v>61</v>
      </c>
    </row>
    <row r="1001" spans="1:3">
      <c r="A1001" t="s">
        <v>213</v>
      </c>
      <c r="B1001">
        <v>16</v>
      </c>
      <c r="C1001">
        <v>42</v>
      </c>
    </row>
    <row r="1002" spans="1:3">
      <c r="A1002" t="s">
        <v>213</v>
      </c>
      <c r="B1002">
        <v>17</v>
      </c>
      <c r="C1002">
        <v>25</v>
      </c>
    </row>
    <row r="1003" spans="1:3">
      <c r="A1003" t="s">
        <v>213</v>
      </c>
      <c r="B1003">
        <v>18</v>
      </c>
      <c r="C1003">
        <v>18</v>
      </c>
    </row>
    <row r="1004" spans="1:3">
      <c r="A1004" t="s">
        <v>213</v>
      </c>
      <c r="B1004">
        <v>19</v>
      </c>
      <c r="C1004">
        <v>24</v>
      </c>
    </row>
    <row r="1005" spans="1:3">
      <c r="A1005" t="s">
        <v>213</v>
      </c>
      <c r="B1005">
        <v>20</v>
      </c>
      <c r="C1005">
        <v>12</v>
      </c>
    </row>
    <row r="1006" spans="1:3">
      <c r="A1006" t="s">
        <v>213</v>
      </c>
      <c r="B1006">
        <v>21</v>
      </c>
      <c r="C1006">
        <v>10</v>
      </c>
    </row>
    <row r="1007" spans="1:3">
      <c r="A1007" t="s">
        <v>213</v>
      </c>
      <c r="B1007">
        <v>22</v>
      </c>
      <c r="C1007">
        <v>6</v>
      </c>
    </row>
    <row r="1008" spans="1:3">
      <c r="A1008" t="s">
        <v>213</v>
      </c>
      <c r="B1008">
        <v>23</v>
      </c>
      <c r="C1008">
        <v>2</v>
      </c>
    </row>
    <row r="1009" spans="1:3">
      <c r="A1009" t="s">
        <v>213</v>
      </c>
      <c r="B1009">
        <v>24</v>
      </c>
      <c r="C1009">
        <v>0</v>
      </c>
    </row>
    <row r="1010" spans="1:3">
      <c r="A1010" t="s">
        <v>253</v>
      </c>
      <c r="B1010">
        <v>1</v>
      </c>
      <c r="C1010">
        <v>0</v>
      </c>
    </row>
    <row r="1011" spans="1:3">
      <c r="A1011" t="s">
        <v>253</v>
      </c>
      <c r="B1011">
        <v>2</v>
      </c>
      <c r="C1011">
        <v>0</v>
      </c>
    </row>
    <row r="1012" spans="1:3">
      <c r="A1012" t="s">
        <v>253</v>
      </c>
      <c r="B1012">
        <v>3</v>
      </c>
      <c r="C1012">
        <v>0</v>
      </c>
    </row>
    <row r="1013" spans="1:3">
      <c r="A1013" t="s">
        <v>253</v>
      </c>
      <c r="B1013">
        <v>4</v>
      </c>
      <c r="C1013">
        <v>12</v>
      </c>
    </row>
    <row r="1014" spans="1:3">
      <c r="A1014" t="s">
        <v>253</v>
      </c>
      <c r="B1014">
        <v>5</v>
      </c>
      <c r="C1014">
        <v>17</v>
      </c>
    </row>
    <row r="1015" spans="1:3">
      <c r="A1015" t="s">
        <v>253</v>
      </c>
      <c r="B1015">
        <v>6</v>
      </c>
      <c r="C1015">
        <v>25</v>
      </c>
    </row>
    <row r="1016" spans="1:3">
      <c r="A1016" t="s">
        <v>253</v>
      </c>
      <c r="B1016">
        <v>7</v>
      </c>
      <c r="C1016">
        <v>26</v>
      </c>
    </row>
    <row r="1017" spans="1:3">
      <c r="A1017" t="s">
        <v>253</v>
      </c>
      <c r="B1017">
        <v>8</v>
      </c>
      <c r="C1017">
        <v>27</v>
      </c>
    </row>
    <row r="1018" spans="1:3">
      <c r="A1018" t="s">
        <v>253</v>
      </c>
      <c r="B1018">
        <v>9</v>
      </c>
      <c r="C1018">
        <v>16</v>
      </c>
    </row>
    <row r="1019" spans="1:3">
      <c r="A1019" t="s">
        <v>253</v>
      </c>
      <c r="B1019">
        <v>10</v>
      </c>
      <c r="C1019">
        <v>38</v>
      </c>
    </row>
    <row r="1020" spans="1:3">
      <c r="A1020" t="s">
        <v>253</v>
      </c>
      <c r="B1020">
        <v>11</v>
      </c>
      <c r="C1020">
        <v>27</v>
      </c>
    </row>
    <row r="1021" spans="1:3">
      <c r="A1021" t="s">
        <v>253</v>
      </c>
      <c r="B1021">
        <v>12</v>
      </c>
      <c r="C1021">
        <v>29</v>
      </c>
    </row>
    <row r="1022" spans="1:3">
      <c r="A1022" t="s">
        <v>253</v>
      </c>
      <c r="B1022">
        <v>13</v>
      </c>
      <c r="C1022">
        <v>24</v>
      </c>
    </row>
    <row r="1023" spans="1:3">
      <c r="A1023" t="s">
        <v>253</v>
      </c>
      <c r="B1023">
        <v>14</v>
      </c>
      <c r="C1023">
        <v>42</v>
      </c>
    </row>
    <row r="1024" spans="1:3">
      <c r="A1024" t="s">
        <v>253</v>
      </c>
      <c r="B1024">
        <v>15</v>
      </c>
      <c r="C1024">
        <v>26</v>
      </c>
    </row>
    <row r="1025" spans="1:3">
      <c r="A1025" t="s">
        <v>253</v>
      </c>
      <c r="B1025">
        <v>16</v>
      </c>
      <c r="C1025">
        <v>25</v>
      </c>
    </row>
    <row r="1026" spans="1:3">
      <c r="A1026" t="s">
        <v>253</v>
      </c>
      <c r="B1026">
        <v>17</v>
      </c>
      <c r="C1026">
        <v>22</v>
      </c>
    </row>
    <row r="1027" spans="1:3">
      <c r="A1027" t="s">
        <v>253</v>
      </c>
      <c r="B1027">
        <v>18</v>
      </c>
      <c r="C1027">
        <v>20</v>
      </c>
    </row>
    <row r="1028" spans="1:3">
      <c r="A1028" t="s">
        <v>253</v>
      </c>
      <c r="B1028">
        <v>19</v>
      </c>
      <c r="C1028">
        <v>20</v>
      </c>
    </row>
    <row r="1029" spans="1:3">
      <c r="A1029" t="s">
        <v>253</v>
      </c>
      <c r="B1029">
        <v>20</v>
      </c>
      <c r="C1029">
        <v>15</v>
      </c>
    </row>
    <row r="1030" spans="1:3">
      <c r="A1030" t="s">
        <v>253</v>
      </c>
      <c r="B1030">
        <v>21</v>
      </c>
      <c r="C1030">
        <v>11</v>
      </c>
    </row>
    <row r="1031" spans="1:3">
      <c r="A1031" t="s">
        <v>253</v>
      </c>
      <c r="B1031">
        <v>22</v>
      </c>
      <c r="C1031">
        <v>10</v>
      </c>
    </row>
    <row r="1032" spans="1:3">
      <c r="A1032" t="s">
        <v>253</v>
      </c>
      <c r="B1032">
        <v>23</v>
      </c>
      <c r="C1032">
        <v>6</v>
      </c>
    </row>
    <row r="1033" spans="1:3">
      <c r="A1033" t="s">
        <v>253</v>
      </c>
      <c r="B1033">
        <v>24</v>
      </c>
      <c r="C1033">
        <v>5</v>
      </c>
    </row>
    <row r="1034" spans="1:3">
      <c r="A1034" t="s">
        <v>224</v>
      </c>
      <c r="B1034">
        <v>1</v>
      </c>
      <c r="C1034">
        <v>0</v>
      </c>
    </row>
    <row r="1035" spans="1:3">
      <c r="A1035" t="s">
        <v>224</v>
      </c>
      <c r="B1035">
        <v>2</v>
      </c>
      <c r="C1035">
        <v>0</v>
      </c>
    </row>
    <row r="1036" spans="1:3">
      <c r="A1036" t="s">
        <v>224</v>
      </c>
      <c r="B1036">
        <v>3</v>
      </c>
      <c r="C1036">
        <v>0</v>
      </c>
    </row>
    <row r="1037" spans="1:3">
      <c r="A1037" t="s">
        <v>224</v>
      </c>
      <c r="B1037">
        <v>4</v>
      </c>
      <c r="C1037">
        <v>0</v>
      </c>
    </row>
    <row r="1038" spans="1:3">
      <c r="A1038" t="s">
        <v>224</v>
      </c>
      <c r="B1038">
        <v>5</v>
      </c>
      <c r="C1038">
        <v>20</v>
      </c>
    </row>
    <row r="1039" spans="1:3">
      <c r="A1039" t="s">
        <v>224</v>
      </c>
      <c r="B1039">
        <v>6</v>
      </c>
      <c r="C1039">
        <v>31</v>
      </c>
    </row>
    <row r="1040" spans="1:3">
      <c r="A1040" t="s">
        <v>224</v>
      </c>
      <c r="B1040">
        <v>7</v>
      </c>
      <c r="C1040">
        <v>48</v>
      </c>
    </row>
    <row r="1041" spans="1:3">
      <c r="A1041" t="s">
        <v>224</v>
      </c>
      <c r="B1041">
        <v>8</v>
      </c>
      <c r="C1041">
        <v>28</v>
      </c>
    </row>
    <row r="1042" spans="1:3">
      <c r="A1042" t="s">
        <v>224</v>
      </c>
      <c r="B1042">
        <v>9</v>
      </c>
      <c r="C1042">
        <v>61</v>
      </c>
    </row>
    <row r="1043" spans="1:3">
      <c r="A1043" t="s">
        <v>224</v>
      </c>
      <c r="B1043">
        <v>10</v>
      </c>
      <c r="C1043">
        <v>72</v>
      </c>
    </row>
    <row r="1044" spans="1:3">
      <c r="A1044" t="s">
        <v>224</v>
      </c>
      <c r="B1044">
        <v>11</v>
      </c>
      <c r="C1044">
        <v>31</v>
      </c>
    </row>
    <row r="1045" spans="1:3">
      <c r="A1045" t="s">
        <v>224</v>
      </c>
      <c r="B1045">
        <v>12</v>
      </c>
      <c r="C1045">
        <v>47</v>
      </c>
    </row>
    <row r="1046" spans="1:3">
      <c r="A1046" t="s">
        <v>224</v>
      </c>
      <c r="B1046">
        <v>13</v>
      </c>
      <c r="C1046">
        <v>40</v>
      </c>
    </row>
    <row r="1047" spans="1:3">
      <c r="A1047" t="s">
        <v>224</v>
      </c>
      <c r="B1047">
        <v>14</v>
      </c>
      <c r="C1047">
        <v>52</v>
      </c>
    </row>
    <row r="1048" spans="1:3">
      <c r="A1048" t="s">
        <v>224</v>
      </c>
      <c r="B1048">
        <v>15</v>
      </c>
      <c r="C1048">
        <v>45</v>
      </c>
    </row>
    <row r="1049" spans="1:3">
      <c r="A1049" t="s">
        <v>224</v>
      </c>
      <c r="B1049">
        <v>16</v>
      </c>
      <c r="C1049">
        <v>54</v>
      </c>
    </row>
    <row r="1050" spans="1:3">
      <c r="A1050" t="s">
        <v>224</v>
      </c>
      <c r="B1050">
        <v>17</v>
      </c>
      <c r="C1050">
        <v>45</v>
      </c>
    </row>
    <row r="1051" spans="1:3">
      <c r="A1051" t="s">
        <v>224</v>
      </c>
      <c r="B1051">
        <v>18</v>
      </c>
      <c r="C1051">
        <v>69</v>
      </c>
    </row>
    <row r="1052" spans="1:3">
      <c r="A1052" t="s">
        <v>224</v>
      </c>
      <c r="B1052">
        <v>19</v>
      </c>
      <c r="C1052">
        <v>52</v>
      </c>
    </row>
    <row r="1053" spans="1:3">
      <c r="A1053" t="s">
        <v>224</v>
      </c>
      <c r="B1053">
        <v>20</v>
      </c>
      <c r="C1053">
        <v>61</v>
      </c>
    </row>
    <row r="1054" spans="1:3">
      <c r="A1054" t="s">
        <v>224</v>
      </c>
      <c r="B1054">
        <v>21</v>
      </c>
      <c r="C1054">
        <v>35</v>
      </c>
    </row>
    <row r="1055" spans="1:3">
      <c r="A1055" t="s">
        <v>224</v>
      </c>
      <c r="B1055">
        <v>22</v>
      </c>
      <c r="C1055">
        <v>25</v>
      </c>
    </row>
    <row r="1056" spans="1:3">
      <c r="A1056" t="s">
        <v>224</v>
      </c>
      <c r="B1056">
        <v>23</v>
      </c>
      <c r="C1056">
        <v>15</v>
      </c>
    </row>
    <row r="1057" spans="1:3">
      <c r="A1057" t="s">
        <v>224</v>
      </c>
      <c r="B1057">
        <v>24</v>
      </c>
      <c r="C1057">
        <v>4</v>
      </c>
    </row>
    <row r="1058" spans="1:3">
      <c r="A1058" t="s">
        <v>235</v>
      </c>
      <c r="B1058">
        <v>1</v>
      </c>
      <c r="C1058">
        <v>0</v>
      </c>
    </row>
    <row r="1059" spans="1:3">
      <c r="A1059" t="s">
        <v>235</v>
      </c>
      <c r="B1059">
        <v>2</v>
      </c>
      <c r="C1059">
        <v>0</v>
      </c>
    </row>
    <row r="1060" spans="1:3">
      <c r="A1060" t="s">
        <v>235</v>
      </c>
      <c r="B1060">
        <v>3</v>
      </c>
      <c r="C1060">
        <v>0</v>
      </c>
    </row>
    <row r="1061" spans="1:3">
      <c r="A1061" t="s">
        <v>235</v>
      </c>
      <c r="B1061">
        <v>4</v>
      </c>
      <c r="C1061">
        <v>0</v>
      </c>
    </row>
    <row r="1062" spans="1:3">
      <c r="A1062" t="s">
        <v>235</v>
      </c>
      <c r="B1062">
        <v>5</v>
      </c>
      <c r="C1062">
        <v>24</v>
      </c>
    </row>
    <row r="1063" spans="1:3">
      <c r="A1063" t="s">
        <v>235</v>
      </c>
      <c r="B1063">
        <v>6</v>
      </c>
      <c r="C1063">
        <v>40</v>
      </c>
    </row>
    <row r="1064" spans="1:3">
      <c r="A1064" t="s">
        <v>235</v>
      </c>
      <c r="B1064">
        <v>7</v>
      </c>
      <c r="C1064">
        <v>41</v>
      </c>
    </row>
    <row r="1065" spans="1:3">
      <c r="A1065" t="s">
        <v>235</v>
      </c>
      <c r="B1065">
        <v>8</v>
      </c>
      <c r="C1065">
        <v>29</v>
      </c>
    </row>
    <row r="1066" spans="1:3">
      <c r="A1066" t="s">
        <v>235</v>
      </c>
      <c r="B1066">
        <v>9</v>
      </c>
      <c r="C1066">
        <v>29</v>
      </c>
    </row>
    <row r="1067" spans="1:3">
      <c r="A1067" t="s">
        <v>235</v>
      </c>
      <c r="B1067">
        <v>10</v>
      </c>
      <c r="C1067">
        <v>37</v>
      </c>
    </row>
    <row r="1068" spans="1:3">
      <c r="A1068" t="s">
        <v>235</v>
      </c>
      <c r="B1068">
        <v>11</v>
      </c>
      <c r="C1068">
        <v>25</v>
      </c>
    </row>
    <row r="1069" spans="1:3">
      <c r="A1069" t="s">
        <v>235</v>
      </c>
      <c r="B1069">
        <v>12</v>
      </c>
      <c r="C1069">
        <v>32</v>
      </c>
    </row>
    <row r="1070" spans="1:3">
      <c r="A1070" t="s">
        <v>235</v>
      </c>
      <c r="B1070">
        <v>13</v>
      </c>
      <c r="C1070">
        <v>58</v>
      </c>
    </row>
    <row r="1071" spans="1:3">
      <c r="A1071" t="s">
        <v>235</v>
      </c>
      <c r="B1071">
        <v>14</v>
      </c>
      <c r="C1071">
        <v>40</v>
      </c>
    </row>
    <row r="1072" spans="1:3">
      <c r="A1072" t="s">
        <v>235</v>
      </c>
      <c r="B1072">
        <v>15</v>
      </c>
      <c r="C1072">
        <v>36</v>
      </c>
    </row>
    <row r="1073" spans="1:3">
      <c r="A1073" t="s">
        <v>235</v>
      </c>
      <c r="B1073">
        <v>16</v>
      </c>
      <c r="C1073">
        <v>40</v>
      </c>
    </row>
    <row r="1074" spans="1:3">
      <c r="A1074" t="s">
        <v>235</v>
      </c>
      <c r="B1074">
        <v>17</v>
      </c>
      <c r="C1074">
        <v>37</v>
      </c>
    </row>
    <row r="1075" spans="1:3">
      <c r="A1075" t="s">
        <v>235</v>
      </c>
      <c r="B1075">
        <v>18</v>
      </c>
      <c r="C1075">
        <v>36</v>
      </c>
    </row>
    <row r="1076" spans="1:3">
      <c r="A1076" t="s">
        <v>235</v>
      </c>
      <c r="B1076">
        <v>19</v>
      </c>
      <c r="C1076">
        <v>37</v>
      </c>
    </row>
    <row r="1077" spans="1:3">
      <c r="A1077" t="s">
        <v>235</v>
      </c>
      <c r="B1077">
        <v>20</v>
      </c>
      <c r="C1077">
        <v>23</v>
      </c>
    </row>
    <row r="1078" spans="1:3">
      <c r="A1078" t="s">
        <v>235</v>
      </c>
      <c r="B1078">
        <v>21</v>
      </c>
      <c r="C1078">
        <v>20</v>
      </c>
    </row>
    <row r="1079" spans="1:3">
      <c r="A1079" t="s">
        <v>235</v>
      </c>
      <c r="B1079">
        <v>22</v>
      </c>
      <c r="C1079">
        <v>17</v>
      </c>
    </row>
    <row r="1080" spans="1:3">
      <c r="A1080" t="s">
        <v>235</v>
      </c>
      <c r="B1080">
        <v>23</v>
      </c>
      <c r="C1080">
        <v>9</v>
      </c>
    </row>
    <row r="1081" spans="1:3">
      <c r="A1081" t="s">
        <v>235</v>
      </c>
      <c r="B1081">
        <v>24</v>
      </c>
      <c r="C1081">
        <v>0</v>
      </c>
    </row>
    <row r="1082" spans="1:3">
      <c r="A1082" t="s">
        <v>225</v>
      </c>
      <c r="B1082">
        <v>1</v>
      </c>
      <c r="C1082">
        <v>0</v>
      </c>
    </row>
    <row r="1083" spans="1:3">
      <c r="A1083" t="s">
        <v>225</v>
      </c>
      <c r="B1083">
        <v>2</v>
      </c>
      <c r="C1083">
        <v>12</v>
      </c>
    </row>
    <row r="1084" spans="1:3">
      <c r="A1084" t="s">
        <v>225</v>
      </c>
      <c r="B1084">
        <v>3</v>
      </c>
      <c r="C1084">
        <v>4</v>
      </c>
    </row>
    <row r="1085" spans="1:3">
      <c r="A1085" t="s">
        <v>225</v>
      </c>
      <c r="B1085">
        <v>4</v>
      </c>
      <c r="C1085">
        <v>15</v>
      </c>
    </row>
    <row r="1086" spans="1:3">
      <c r="A1086" t="s">
        <v>225</v>
      </c>
      <c r="B1086">
        <v>5</v>
      </c>
      <c r="C1086">
        <v>36</v>
      </c>
    </row>
    <row r="1087" spans="1:3">
      <c r="A1087" t="s">
        <v>225</v>
      </c>
      <c r="B1087">
        <v>6</v>
      </c>
      <c r="C1087">
        <v>51</v>
      </c>
    </row>
    <row r="1088" spans="1:3">
      <c r="A1088" t="s">
        <v>225</v>
      </c>
      <c r="B1088">
        <v>7</v>
      </c>
      <c r="C1088">
        <v>72</v>
      </c>
    </row>
    <row r="1089" spans="1:3">
      <c r="A1089" t="s">
        <v>225</v>
      </c>
      <c r="B1089">
        <v>8</v>
      </c>
      <c r="C1089">
        <v>70</v>
      </c>
    </row>
    <row r="1090" spans="1:3">
      <c r="A1090" t="s">
        <v>225</v>
      </c>
      <c r="B1090">
        <v>9</v>
      </c>
      <c r="C1090">
        <v>54</v>
      </c>
    </row>
    <row r="1091" spans="1:3">
      <c r="A1091" t="s">
        <v>225</v>
      </c>
      <c r="B1091">
        <v>10</v>
      </c>
      <c r="C1091">
        <v>52</v>
      </c>
    </row>
    <row r="1092" spans="1:3">
      <c r="A1092" t="s">
        <v>225</v>
      </c>
      <c r="B1092">
        <v>11</v>
      </c>
      <c r="C1092">
        <v>69</v>
      </c>
    </row>
    <row r="1093" spans="1:3">
      <c r="A1093" t="s">
        <v>225</v>
      </c>
      <c r="B1093">
        <v>12</v>
      </c>
      <c r="C1093">
        <v>51</v>
      </c>
    </row>
    <row r="1094" spans="1:3">
      <c r="A1094" t="s">
        <v>225</v>
      </c>
      <c r="B1094">
        <v>13</v>
      </c>
      <c r="C1094">
        <v>60</v>
      </c>
    </row>
    <row r="1095" spans="1:3">
      <c r="A1095" t="s">
        <v>225</v>
      </c>
      <c r="B1095">
        <v>14</v>
      </c>
      <c r="C1095">
        <v>64</v>
      </c>
    </row>
    <row r="1096" spans="1:3">
      <c r="A1096" t="s">
        <v>225</v>
      </c>
      <c r="B1096">
        <v>15</v>
      </c>
      <c r="C1096">
        <v>67</v>
      </c>
    </row>
    <row r="1097" spans="1:3">
      <c r="A1097" t="s">
        <v>225</v>
      </c>
      <c r="B1097">
        <v>16</v>
      </c>
      <c r="C1097">
        <v>59</v>
      </c>
    </row>
    <row r="1098" spans="1:3">
      <c r="A1098" t="s">
        <v>225</v>
      </c>
      <c r="B1098">
        <v>17</v>
      </c>
      <c r="C1098">
        <v>54</v>
      </c>
    </row>
    <row r="1099" spans="1:3">
      <c r="A1099" t="s">
        <v>225</v>
      </c>
      <c r="B1099">
        <v>18</v>
      </c>
      <c r="C1099">
        <v>55</v>
      </c>
    </row>
    <row r="1100" spans="1:3">
      <c r="A1100" t="s">
        <v>225</v>
      </c>
      <c r="B1100">
        <v>19</v>
      </c>
      <c r="C1100">
        <v>65</v>
      </c>
    </row>
    <row r="1101" spans="1:3">
      <c r="A1101" t="s">
        <v>225</v>
      </c>
      <c r="B1101">
        <v>20</v>
      </c>
      <c r="C1101">
        <v>36</v>
      </c>
    </row>
    <row r="1102" spans="1:3">
      <c r="A1102" t="s">
        <v>225</v>
      </c>
      <c r="B1102">
        <v>21</v>
      </c>
      <c r="C1102">
        <v>40</v>
      </c>
    </row>
    <row r="1103" spans="1:3">
      <c r="A1103" t="s">
        <v>225</v>
      </c>
      <c r="B1103">
        <v>22</v>
      </c>
      <c r="C1103">
        <v>41</v>
      </c>
    </row>
    <row r="1104" spans="1:3">
      <c r="A1104" t="s">
        <v>225</v>
      </c>
      <c r="B1104">
        <v>23</v>
      </c>
      <c r="C1104">
        <v>33</v>
      </c>
    </row>
    <row r="1105" spans="1:3">
      <c r="A1105" t="s">
        <v>225</v>
      </c>
      <c r="B1105">
        <v>24</v>
      </c>
      <c r="C1105">
        <v>10</v>
      </c>
    </row>
    <row r="1106" spans="1:3">
      <c r="A1106" t="s">
        <v>249</v>
      </c>
      <c r="B1106">
        <v>1</v>
      </c>
      <c r="C1106">
        <v>0</v>
      </c>
    </row>
    <row r="1107" spans="1:3">
      <c r="A1107" t="s">
        <v>249</v>
      </c>
      <c r="B1107">
        <v>2</v>
      </c>
      <c r="C1107">
        <v>0</v>
      </c>
    </row>
    <row r="1108" spans="1:3">
      <c r="A1108" t="s">
        <v>249</v>
      </c>
      <c r="B1108">
        <v>3</v>
      </c>
      <c r="C1108">
        <v>0</v>
      </c>
    </row>
    <row r="1109" spans="1:3">
      <c r="A1109" t="s">
        <v>249</v>
      </c>
      <c r="B1109">
        <v>4</v>
      </c>
      <c r="C1109">
        <v>4</v>
      </c>
    </row>
    <row r="1110" spans="1:3">
      <c r="A1110" t="s">
        <v>249</v>
      </c>
      <c r="B1110">
        <v>5</v>
      </c>
      <c r="C1110">
        <v>16</v>
      </c>
    </row>
    <row r="1111" spans="1:3">
      <c r="A1111" t="s">
        <v>249</v>
      </c>
      <c r="B1111">
        <v>6</v>
      </c>
      <c r="C1111">
        <v>22</v>
      </c>
    </row>
    <row r="1112" spans="1:3">
      <c r="A1112" t="s">
        <v>249</v>
      </c>
      <c r="B1112">
        <v>7</v>
      </c>
      <c r="C1112">
        <v>29</v>
      </c>
    </row>
    <row r="1113" spans="1:3">
      <c r="A1113" t="s">
        <v>249</v>
      </c>
      <c r="B1113">
        <v>8</v>
      </c>
      <c r="C1113">
        <v>19</v>
      </c>
    </row>
    <row r="1114" spans="1:3">
      <c r="A1114" t="s">
        <v>249</v>
      </c>
      <c r="B1114">
        <v>9</v>
      </c>
      <c r="C1114">
        <v>25</v>
      </c>
    </row>
    <row r="1115" spans="1:3">
      <c r="A1115" t="s">
        <v>249</v>
      </c>
      <c r="B1115">
        <v>10</v>
      </c>
      <c r="C1115">
        <v>18</v>
      </c>
    </row>
    <row r="1116" spans="1:3">
      <c r="A1116" t="s">
        <v>249</v>
      </c>
      <c r="B1116">
        <v>11</v>
      </c>
      <c r="C1116">
        <v>22</v>
      </c>
    </row>
    <row r="1117" spans="1:3">
      <c r="A1117" t="s">
        <v>249</v>
      </c>
      <c r="B1117">
        <v>12</v>
      </c>
      <c r="C1117">
        <v>16</v>
      </c>
    </row>
    <row r="1118" spans="1:3">
      <c r="A1118" t="s">
        <v>249</v>
      </c>
      <c r="B1118">
        <v>13</v>
      </c>
      <c r="C1118">
        <v>24</v>
      </c>
    </row>
    <row r="1119" spans="1:3">
      <c r="A1119" t="s">
        <v>249</v>
      </c>
      <c r="B1119">
        <v>14</v>
      </c>
      <c r="C1119">
        <v>27</v>
      </c>
    </row>
    <row r="1120" spans="1:3">
      <c r="A1120" t="s">
        <v>249</v>
      </c>
      <c r="B1120">
        <v>15</v>
      </c>
      <c r="C1120">
        <v>29</v>
      </c>
    </row>
    <row r="1121" spans="1:3">
      <c r="A1121" t="s">
        <v>249</v>
      </c>
      <c r="B1121">
        <v>16</v>
      </c>
      <c r="C1121">
        <v>46</v>
      </c>
    </row>
    <row r="1122" spans="1:3">
      <c r="A1122" t="s">
        <v>249</v>
      </c>
      <c r="B1122">
        <v>17</v>
      </c>
      <c r="C1122">
        <v>22</v>
      </c>
    </row>
    <row r="1123" spans="1:3">
      <c r="A1123" t="s">
        <v>249</v>
      </c>
      <c r="B1123">
        <v>18</v>
      </c>
      <c r="C1123">
        <v>35</v>
      </c>
    </row>
    <row r="1124" spans="1:3">
      <c r="A1124" t="s">
        <v>249</v>
      </c>
      <c r="B1124">
        <v>19</v>
      </c>
      <c r="C1124">
        <v>17</v>
      </c>
    </row>
    <row r="1125" spans="1:3">
      <c r="A1125" t="s">
        <v>249</v>
      </c>
      <c r="B1125">
        <v>20</v>
      </c>
      <c r="C1125">
        <v>19</v>
      </c>
    </row>
    <row r="1126" spans="1:3">
      <c r="A1126" t="s">
        <v>249</v>
      </c>
      <c r="B1126">
        <v>21</v>
      </c>
      <c r="C1126">
        <v>9</v>
      </c>
    </row>
    <row r="1127" spans="1:3">
      <c r="A1127" t="s">
        <v>249</v>
      </c>
      <c r="B1127">
        <v>22</v>
      </c>
      <c r="C1127">
        <v>11</v>
      </c>
    </row>
    <row r="1128" spans="1:3">
      <c r="A1128" t="s">
        <v>249</v>
      </c>
      <c r="B1128">
        <v>23</v>
      </c>
      <c r="C1128">
        <v>8</v>
      </c>
    </row>
    <row r="1129" spans="1:3">
      <c r="A1129" t="s">
        <v>249</v>
      </c>
      <c r="B1129">
        <v>24</v>
      </c>
      <c r="C1129">
        <v>0</v>
      </c>
    </row>
    <row r="1130" spans="1:3">
      <c r="A1130" t="s">
        <v>193</v>
      </c>
      <c r="B1130">
        <v>1</v>
      </c>
      <c r="C1130">
        <v>20</v>
      </c>
    </row>
    <row r="1131" spans="1:3">
      <c r="A1131" t="s">
        <v>193</v>
      </c>
      <c r="B1131">
        <v>2</v>
      </c>
      <c r="C1131">
        <v>30</v>
      </c>
    </row>
    <row r="1132" spans="1:3">
      <c r="A1132" t="s">
        <v>193</v>
      </c>
      <c r="B1132">
        <v>3</v>
      </c>
      <c r="C1132">
        <v>0</v>
      </c>
    </row>
    <row r="1133" spans="1:3">
      <c r="A1133" t="s">
        <v>193</v>
      </c>
      <c r="B1133">
        <v>4</v>
      </c>
      <c r="C1133">
        <v>18</v>
      </c>
    </row>
    <row r="1134" spans="1:3">
      <c r="A1134" t="s">
        <v>193</v>
      </c>
      <c r="B1134">
        <v>5</v>
      </c>
      <c r="C1134">
        <v>56</v>
      </c>
    </row>
    <row r="1135" spans="1:3">
      <c r="A1135" t="s">
        <v>193</v>
      </c>
      <c r="B1135">
        <v>6</v>
      </c>
      <c r="C1135">
        <v>83</v>
      </c>
    </row>
    <row r="1136" spans="1:3">
      <c r="A1136" t="s">
        <v>193</v>
      </c>
      <c r="B1136">
        <v>7</v>
      </c>
      <c r="C1136">
        <v>88</v>
      </c>
    </row>
    <row r="1137" spans="1:3">
      <c r="A1137" t="s">
        <v>193</v>
      </c>
      <c r="B1137">
        <v>8</v>
      </c>
      <c r="C1137">
        <v>85</v>
      </c>
    </row>
    <row r="1138" spans="1:3">
      <c r="A1138" t="s">
        <v>193</v>
      </c>
      <c r="B1138">
        <v>9</v>
      </c>
      <c r="C1138">
        <v>70</v>
      </c>
    </row>
    <row r="1139" spans="1:3">
      <c r="A1139" t="s">
        <v>193</v>
      </c>
      <c r="B1139">
        <v>10</v>
      </c>
      <c r="C1139">
        <v>50</v>
      </c>
    </row>
    <row r="1140" spans="1:3">
      <c r="A1140" t="s">
        <v>193</v>
      </c>
      <c r="B1140">
        <v>11</v>
      </c>
      <c r="C1140">
        <v>55</v>
      </c>
    </row>
    <row r="1141" spans="1:3">
      <c r="A1141" t="s">
        <v>193</v>
      </c>
      <c r="B1141">
        <v>12</v>
      </c>
      <c r="C1141">
        <v>58</v>
      </c>
    </row>
    <row r="1142" spans="1:3">
      <c r="A1142" t="s">
        <v>193</v>
      </c>
      <c r="B1142">
        <v>13</v>
      </c>
      <c r="C1142">
        <v>54</v>
      </c>
    </row>
    <row r="1143" spans="1:3">
      <c r="A1143" t="s">
        <v>193</v>
      </c>
      <c r="B1143">
        <v>14</v>
      </c>
      <c r="C1143">
        <v>73</v>
      </c>
    </row>
    <row r="1144" spans="1:3">
      <c r="A1144" t="s">
        <v>193</v>
      </c>
      <c r="B1144">
        <v>15</v>
      </c>
      <c r="C1144">
        <v>81</v>
      </c>
    </row>
    <row r="1145" spans="1:3">
      <c r="A1145" t="s">
        <v>193</v>
      </c>
      <c r="B1145">
        <v>16</v>
      </c>
      <c r="C1145">
        <v>73</v>
      </c>
    </row>
    <row r="1146" spans="1:3">
      <c r="A1146" t="s">
        <v>193</v>
      </c>
      <c r="B1146">
        <v>17</v>
      </c>
      <c r="C1146">
        <v>69</v>
      </c>
    </row>
    <row r="1147" spans="1:3">
      <c r="A1147" t="s">
        <v>193</v>
      </c>
      <c r="B1147">
        <v>18</v>
      </c>
      <c r="C1147">
        <v>69</v>
      </c>
    </row>
    <row r="1148" spans="1:3">
      <c r="A1148" t="s">
        <v>193</v>
      </c>
      <c r="B1148">
        <v>19</v>
      </c>
      <c r="C1148">
        <v>48</v>
      </c>
    </row>
    <row r="1149" spans="1:3">
      <c r="A1149" t="s">
        <v>193</v>
      </c>
      <c r="B1149">
        <v>20</v>
      </c>
      <c r="C1149">
        <v>52</v>
      </c>
    </row>
    <row r="1150" spans="1:3">
      <c r="A1150" t="s">
        <v>193</v>
      </c>
      <c r="B1150">
        <v>21</v>
      </c>
      <c r="C1150">
        <v>31</v>
      </c>
    </row>
    <row r="1151" spans="1:3">
      <c r="A1151" t="s">
        <v>193</v>
      </c>
      <c r="B1151">
        <v>22</v>
      </c>
      <c r="C1151">
        <v>27</v>
      </c>
    </row>
    <row r="1152" spans="1:3">
      <c r="A1152" t="s">
        <v>193</v>
      </c>
      <c r="B1152">
        <v>23</v>
      </c>
      <c r="C1152">
        <v>11</v>
      </c>
    </row>
    <row r="1153" spans="1:3">
      <c r="A1153" t="s">
        <v>193</v>
      </c>
      <c r="B1153">
        <v>24</v>
      </c>
      <c r="C1153">
        <v>8</v>
      </c>
    </row>
    <row r="1154" spans="1:3">
      <c r="A1154" t="s">
        <v>194</v>
      </c>
      <c r="B1154">
        <v>1</v>
      </c>
      <c r="C1154">
        <v>0</v>
      </c>
    </row>
    <row r="1155" spans="1:3">
      <c r="A1155" t="s">
        <v>194</v>
      </c>
      <c r="B1155">
        <v>2</v>
      </c>
      <c r="C1155">
        <v>0</v>
      </c>
    </row>
    <row r="1156" spans="1:3">
      <c r="A1156" t="s">
        <v>194</v>
      </c>
      <c r="B1156">
        <v>3</v>
      </c>
      <c r="C1156">
        <v>0</v>
      </c>
    </row>
    <row r="1157" spans="1:3">
      <c r="A1157" t="s">
        <v>194</v>
      </c>
      <c r="B1157">
        <v>4</v>
      </c>
      <c r="C1157">
        <v>17</v>
      </c>
    </row>
    <row r="1158" spans="1:3">
      <c r="A1158" t="s">
        <v>194</v>
      </c>
      <c r="B1158">
        <v>5</v>
      </c>
      <c r="C1158">
        <v>28</v>
      </c>
    </row>
    <row r="1159" spans="1:3">
      <c r="A1159" t="s">
        <v>194</v>
      </c>
      <c r="B1159">
        <v>6</v>
      </c>
      <c r="C1159">
        <v>46</v>
      </c>
    </row>
    <row r="1160" spans="1:3">
      <c r="A1160" t="s">
        <v>194</v>
      </c>
      <c r="B1160">
        <v>7</v>
      </c>
      <c r="C1160">
        <v>82</v>
      </c>
    </row>
    <row r="1161" spans="1:3">
      <c r="A1161" t="s">
        <v>194</v>
      </c>
      <c r="B1161">
        <v>8</v>
      </c>
      <c r="C1161">
        <v>76</v>
      </c>
    </row>
    <row r="1162" spans="1:3">
      <c r="A1162" t="s">
        <v>194</v>
      </c>
      <c r="B1162">
        <v>9</v>
      </c>
      <c r="C1162">
        <v>48</v>
      </c>
    </row>
    <row r="1163" spans="1:3">
      <c r="A1163" t="s">
        <v>194</v>
      </c>
      <c r="B1163">
        <v>10</v>
      </c>
      <c r="C1163">
        <v>67</v>
      </c>
    </row>
    <row r="1164" spans="1:3">
      <c r="A1164" t="s">
        <v>194</v>
      </c>
      <c r="B1164">
        <v>11</v>
      </c>
      <c r="C1164">
        <v>51</v>
      </c>
    </row>
    <row r="1165" spans="1:3">
      <c r="A1165" t="s">
        <v>194</v>
      </c>
      <c r="B1165">
        <v>12</v>
      </c>
      <c r="C1165">
        <v>41</v>
      </c>
    </row>
    <row r="1166" spans="1:3">
      <c r="A1166" t="s">
        <v>194</v>
      </c>
      <c r="B1166">
        <v>13</v>
      </c>
      <c r="C1166">
        <v>58</v>
      </c>
    </row>
    <row r="1167" spans="1:3">
      <c r="A1167" t="s">
        <v>194</v>
      </c>
      <c r="B1167">
        <v>14</v>
      </c>
      <c r="C1167">
        <v>56</v>
      </c>
    </row>
    <row r="1168" spans="1:3">
      <c r="A1168" t="s">
        <v>194</v>
      </c>
      <c r="B1168">
        <v>15</v>
      </c>
      <c r="C1168">
        <v>85</v>
      </c>
    </row>
    <row r="1169" spans="1:3">
      <c r="A1169" t="s">
        <v>194</v>
      </c>
      <c r="B1169">
        <v>16</v>
      </c>
      <c r="C1169">
        <v>80</v>
      </c>
    </row>
    <row r="1170" spans="1:3">
      <c r="A1170" t="s">
        <v>194</v>
      </c>
      <c r="B1170">
        <v>17</v>
      </c>
      <c r="C1170">
        <v>88</v>
      </c>
    </row>
    <row r="1171" spans="1:3">
      <c r="A1171" t="s">
        <v>194</v>
      </c>
      <c r="B1171">
        <v>18</v>
      </c>
      <c r="C1171">
        <v>61</v>
      </c>
    </row>
    <row r="1172" spans="1:3">
      <c r="A1172" t="s">
        <v>194</v>
      </c>
      <c r="B1172">
        <v>19</v>
      </c>
      <c r="C1172">
        <v>68</v>
      </c>
    </row>
    <row r="1173" spans="1:3">
      <c r="A1173" t="s">
        <v>194</v>
      </c>
      <c r="B1173">
        <v>20</v>
      </c>
      <c r="C1173">
        <v>59</v>
      </c>
    </row>
    <row r="1174" spans="1:3">
      <c r="A1174" t="s">
        <v>194</v>
      </c>
      <c r="B1174">
        <v>21</v>
      </c>
      <c r="C1174">
        <v>51</v>
      </c>
    </row>
    <row r="1175" spans="1:3">
      <c r="A1175" t="s">
        <v>194</v>
      </c>
      <c r="B1175">
        <v>22</v>
      </c>
      <c r="C1175">
        <v>28</v>
      </c>
    </row>
    <row r="1176" spans="1:3">
      <c r="A1176" t="s">
        <v>194</v>
      </c>
      <c r="B1176">
        <v>23</v>
      </c>
      <c r="C1176">
        <v>20</v>
      </c>
    </row>
    <row r="1177" spans="1:3">
      <c r="A1177" t="s">
        <v>194</v>
      </c>
      <c r="B1177">
        <v>24</v>
      </c>
      <c r="C1177">
        <v>19</v>
      </c>
    </row>
    <row r="1178" spans="1:3">
      <c r="A1178" t="s">
        <v>168</v>
      </c>
      <c r="B1178">
        <v>1</v>
      </c>
      <c r="C1178">
        <v>0</v>
      </c>
    </row>
    <row r="1179" spans="1:3">
      <c r="A1179" t="s">
        <v>168</v>
      </c>
      <c r="B1179">
        <v>2</v>
      </c>
      <c r="C1179">
        <v>0</v>
      </c>
    </row>
    <row r="1180" spans="1:3">
      <c r="A1180" t="s">
        <v>168</v>
      </c>
      <c r="B1180">
        <v>3</v>
      </c>
      <c r="C1180">
        <v>0</v>
      </c>
    </row>
    <row r="1181" spans="1:3">
      <c r="A1181" t="s">
        <v>168</v>
      </c>
      <c r="B1181">
        <v>4</v>
      </c>
      <c r="C1181">
        <v>28</v>
      </c>
    </row>
    <row r="1182" spans="1:3">
      <c r="A1182" t="s">
        <v>168</v>
      </c>
      <c r="B1182">
        <v>5</v>
      </c>
      <c r="C1182">
        <v>33</v>
      </c>
    </row>
    <row r="1183" spans="1:3">
      <c r="A1183" t="s">
        <v>168</v>
      </c>
      <c r="B1183">
        <v>6</v>
      </c>
      <c r="C1183">
        <v>51</v>
      </c>
    </row>
    <row r="1184" spans="1:3">
      <c r="A1184" t="s">
        <v>168</v>
      </c>
      <c r="B1184">
        <v>7</v>
      </c>
      <c r="C1184">
        <v>90</v>
      </c>
    </row>
    <row r="1185" spans="1:3">
      <c r="A1185" t="s">
        <v>168</v>
      </c>
      <c r="B1185">
        <v>8</v>
      </c>
      <c r="C1185">
        <v>95</v>
      </c>
    </row>
    <row r="1186" spans="1:3">
      <c r="A1186" t="s">
        <v>168</v>
      </c>
      <c r="B1186">
        <v>9</v>
      </c>
      <c r="C1186">
        <v>75</v>
      </c>
    </row>
    <row r="1187" spans="1:3">
      <c r="A1187" t="s">
        <v>168</v>
      </c>
      <c r="B1187">
        <v>10</v>
      </c>
      <c r="C1187">
        <v>74</v>
      </c>
    </row>
    <row r="1188" spans="1:3">
      <c r="A1188" t="s">
        <v>168</v>
      </c>
      <c r="B1188">
        <v>11</v>
      </c>
      <c r="C1188">
        <v>83</v>
      </c>
    </row>
    <row r="1189" spans="1:3">
      <c r="A1189" t="s">
        <v>168</v>
      </c>
      <c r="B1189">
        <v>12</v>
      </c>
      <c r="C1189">
        <v>73</v>
      </c>
    </row>
    <row r="1190" spans="1:3">
      <c r="A1190" t="s">
        <v>168</v>
      </c>
      <c r="B1190">
        <v>13</v>
      </c>
      <c r="C1190">
        <v>66</v>
      </c>
    </row>
    <row r="1191" spans="1:3">
      <c r="A1191" t="s">
        <v>168</v>
      </c>
      <c r="B1191">
        <v>14</v>
      </c>
      <c r="C1191">
        <v>68</v>
      </c>
    </row>
    <row r="1192" spans="1:3">
      <c r="A1192" t="s">
        <v>168</v>
      </c>
      <c r="B1192">
        <v>15</v>
      </c>
      <c r="C1192">
        <v>79</v>
      </c>
    </row>
    <row r="1193" spans="1:3">
      <c r="A1193" t="s">
        <v>168</v>
      </c>
      <c r="B1193">
        <v>16</v>
      </c>
      <c r="C1193">
        <v>92</v>
      </c>
    </row>
    <row r="1194" spans="1:3">
      <c r="A1194" t="s">
        <v>168</v>
      </c>
      <c r="B1194">
        <v>17</v>
      </c>
      <c r="C1194">
        <v>97</v>
      </c>
    </row>
    <row r="1195" spans="1:3">
      <c r="A1195" t="s">
        <v>168</v>
      </c>
      <c r="B1195">
        <v>18</v>
      </c>
      <c r="C1195">
        <v>105</v>
      </c>
    </row>
    <row r="1196" spans="1:3">
      <c r="A1196" t="s">
        <v>168</v>
      </c>
      <c r="B1196">
        <v>19</v>
      </c>
      <c r="C1196">
        <v>89</v>
      </c>
    </row>
    <row r="1197" spans="1:3">
      <c r="A1197" t="s">
        <v>168</v>
      </c>
      <c r="B1197">
        <v>20</v>
      </c>
      <c r="C1197">
        <v>75</v>
      </c>
    </row>
    <row r="1198" spans="1:3">
      <c r="A1198" t="s">
        <v>168</v>
      </c>
      <c r="B1198">
        <v>21</v>
      </c>
      <c r="C1198">
        <v>133</v>
      </c>
    </row>
    <row r="1199" spans="1:3">
      <c r="A1199" t="s">
        <v>168</v>
      </c>
      <c r="B1199">
        <v>22</v>
      </c>
      <c r="C1199">
        <v>66</v>
      </c>
    </row>
    <row r="1200" spans="1:3">
      <c r="A1200" t="s">
        <v>168</v>
      </c>
      <c r="B1200">
        <v>23</v>
      </c>
      <c r="C1200">
        <v>84</v>
      </c>
    </row>
    <row r="1201" spans="1:3">
      <c r="A1201" t="s">
        <v>168</v>
      </c>
      <c r="B1201">
        <v>24</v>
      </c>
      <c r="C1201">
        <v>10</v>
      </c>
    </row>
    <row r="1202" spans="1:3">
      <c r="A1202" t="s">
        <v>238</v>
      </c>
      <c r="B1202">
        <v>1</v>
      </c>
      <c r="C1202">
        <v>0</v>
      </c>
    </row>
    <row r="1203" spans="1:3">
      <c r="A1203" t="s">
        <v>238</v>
      </c>
      <c r="B1203">
        <v>2</v>
      </c>
      <c r="C1203">
        <v>0</v>
      </c>
    </row>
    <row r="1204" spans="1:3">
      <c r="A1204" t="s">
        <v>238</v>
      </c>
      <c r="B1204">
        <v>3</v>
      </c>
      <c r="C1204">
        <v>0</v>
      </c>
    </row>
    <row r="1205" spans="1:3">
      <c r="A1205" t="s">
        <v>238</v>
      </c>
      <c r="B1205">
        <v>4</v>
      </c>
      <c r="C1205">
        <v>8</v>
      </c>
    </row>
    <row r="1206" spans="1:3">
      <c r="A1206" t="s">
        <v>238</v>
      </c>
      <c r="B1206">
        <v>5</v>
      </c>
      <c r="C1206">
        <v>19</v>
      </c>
    </row>
    <row r="1207" spans="1:3">
      <c r="A1207" t="s">
        <v>238</v>
      </c>
      <c r="B1207">
        <v>6</v>
      </c>
      <c r="C1207">
        <v>55</v>
      </c>
    </row>
    <row r="1208" spans="1:3">
      <c r="A1208" t="s">
        <v>238</v>
      </c>
      <c r="B1208">
        <v>7</v>
      </c>
      <c r="C1208">
        <v>41</v>
      </c>
    </row>
    <row r="1209" spans="1:3">
      <c r="A1209" t="s">
        <v>238</v>
      </c>
      <c r="B1209">
        <v>8</v>
      </c>
      <c r="C1209">
        <v>45</v>
      </c>
    </row>
    <row r="1210" spans="1:3">
      <c r="A1210" t="s">
        <v>238</v>
      </c>
      <c r="B1210">
        <v>9</v>
      </c>
      <c r="C1210">
        <v>44</v>
      </c>
    </row>
    <row r="1211" spans="1:3">
      <c r="A1211" t="s">
        <v>238</v>
      </c>
      <c r="B1211">
        <v>10</v>
      </c>
      <c r="C1211">
        <v>41</v>
      </c>
    </row>
    <row r="1212" spans="1:3">
      <c r="A1212" t="s">
        <v>238</v>
      </c>
      <c r="B1212">
        <v>11</v>
      </c>
      <c r="C1212">
        <v>27</v>
      </c>
    </row>
    <row r="1213" spans="1:3">
      <c r="A1213" t="s">
        <v>238</v>
      </c>
      <c r="B1213">
        <v>12</v>
      </c>
      <c r="C1213">
        <v>25</v>
      </c>
    </row>
    <row r="1214" spans="1:3">
      <c r="A1214" t="s">
        <v>238</v>
      </c>
      <c r="B1214">
        <v>13</v>
      </c>
      <c r="C1214">
        <v>38</v>
      </c>
    </row>
    <row r="1215" spans="1:3">
      <c r="A1215" t="s">
        <v>238</v>
      </c>
      <c r="B1215">
        <v>14</v>
      </c>
      <c r="C1215">
        <v>48</v>
      </c>
    </row>
    <row r="1216" spans="1:3">
      <c r="A1216" t="s">
        <v>238</v>
      </c>
      <c r="B1216">
        <v>15</v>
      </c>
      <c r="C1216">
        <v>54</v>
      </c>
    </row>
    <row r="1217" spans="1:3">
      <c r="A1217" t="s">
        <v>238</v>
      </c>
      <c r="B1217">
        <v>16</v>
      </c>
      <c r="C1217">
        <v>38</v>
      </c>
    </row>
    <row r="1218" spans="1:3">
      <c r="A1218" t="s">
        <v>238</v>
      </c>
      <c r="B1218">
        <v>17</v>
      </c>
      <c r="C1218">
        <v>29</v>
      </c>
    </row>
    <row r="1219" spans="1:3">
      <c r="A1219" t="s">
        <v>238</v>
      </c>
      <c r="B1219">
        <v>18</v>
      </c>
      <c r="C1219">
        <v>26</v>
      </c>
    </row>
    <row r="1220" spans="1:3">
      <c r="A1220" t="s">
        <v>238</v>
      </c>
      <c r="B1220">
        <v>19</v>
      </c>
      <c r="C1220">
        <v>23</v>
      </c>
    </row>
    <row r="1221" spans="1:3">
      <c r="A1221" t="s">
        <v>238</v>
      </c>
      <c r="B1221">
        <v>20</v>
      </c>
      <c r="C1221">
        <v>21</v>
      </c>
    </row>
    <row r="1222" spans="1:3">
      <c r="A1222" t="s">
        <v>238</v>
      </c>
      <c r="B1222">
        <v>21</v>
      </c>
      <c r="C1222">
        <v>26</v>
      </c>
    </row>
    <row r="1223" spans="1:3">
      <c r="A1223" t="s">
        <v>238</v>
      </c>
      <c r="B1223">
        <v>22</v>
      </c>
      <c r="C1223">
        <v>13</v>
      </c>
    </row>
    <row r="1224" spans="1:3">
      <c r="A1224" t="s">
        <v>238</v>
      </c>
      <c r="B1224">
        <v>23</v>
      </c>
      <c r="C1224">
        <v>10</v>
      </c>
    </row>
    <row r="1225" spans="1:3">
      <c r="A1225" t="s">
        <v>238</v>
      </c>
      <c r="B1225">
        <v>24</v>
      </c>
      <c r="C1225">
        <v>3</v>
      </c>
    </row>
    <row r="1226" spans="1:3">
      <c r="A1226" t="s">
        <v>197</v>
      </c>
      <c r="B1226">
        <v>1</v>
      </c>
      <c r="C1226">
        <v>0</v>
      </c>
    </row>
    <row r="1227" spans="1:3">
      <c r="A1227" t="s">
        <v>197</v>
      </c>
      <c r="B1227">
        <v>2</v>
      </c>
      <c r="C1227">
        <v>0</v>
      </c>
    </row>
    <row r="1228" spans="1:3">
      <c r="A1228" t="s">
        <v>197</v>
      </c>
      <c r="B1228">
        <v>3</v>
      </c>
      <c r="C1228">
        <v>0</v>
      </c>
    </row>
    <row r="1229" spans="1:3">
      <c r="A1229" t="s">
        <v>197</v>
      </c>
      <c r="B1229">
        <v>4</v>
      </c>
      <c r="C1229">
        <v>26</v>
      </c>
    </row>
    <row r="1230" spans="1:3">
      <c r="A1230" t="s">
        <v>197</v>
      </c>
      <c r="B1230">
        <v>5</v>
      </c>
      <c r="C1230">
        <v>44</v>
      </c>
    </row>
    <row r="1231" spans="1:3">
      <c r="A1231" t="s">
        <v>197</v>
      </c>
      <c r="B1231">
        <v>6</v>
      </c>
      <c r="C1231">
        <v>60</v>
      </c>
    </row>
    <row r="1232" spans="1:3">
      <c r="A1232" t="s">
        <v>197</v>
      </c>
      <c r="B1232">
        <v>7</v>
      </c>
      <c r="C1232">
        <v>86</v>
      </c>
    </row>
    <row r="1233" spans="1:3">
      <c r="A1233" t="s">
        <v>197</v>
      </c>
      <c r="B1233">
        <v>8</v>
      </c>
      <c r="C1233">
        <v>83</v>
      </c>
    </row>
    <row r="1234" spans="1:3">
      <c r="A1234" t="s">
        <v>197</v>
      </c>
      <c r="B1234">
        <v>9</v>
      </c>
      <c r="C1234">
        <v>74</v>
      </c>
    </row>
    <row r="1235" spans="1:3">
      <c r="A1235" t="s">
        <v>197</v>
      </c>
      <c r="B1235">
        <v>10</v>
      </c>
      <c r="C1235">
        <v>61</v>
      </c>
    </row>
    <row r="1236" spans="1:3">
      <c r="A1236" t="s">
        <v>197</v>
      </c>
      <c r="B1236">
        <v>11</v>
      </c>
      <c r="C1236">
        <v>71</v>
      </c>
    </row>
    <row r="1237" spans="1:3">
      <c r="A1237" t="s">
        <v>197</v>
      </c>
      <c r="B1237">
        <v>12</v>
      </c>
      <c r="C1237">
        <v>66</v>
      </c>
    </row>
    <row r="1238" spans="1:3">
      <c r="A1238" t="s">
        <v>197</v>
      </c>
      <c r="B1238">
        <v>13</v>
      </c>
      <c r="C1238">
        <v>65</v>
      </c>
    </row>
    <row r="1239" spans="1:3">
      <c r="A1239" t="s">
        <v>197</v>
      </c>
      <c r="B1239">
        <v>14</v>
      </c>
      <c r="C1239">
        <v>71</v>
      </c>
    </row>
    <row r="1240" spans="1:3">
      <c r="A1240" t="s">
        <v>197</v>
      </c>
      <c r="B1240">
        <v>15</v>
      </c>
      <c r="C1240">
        <v>74</v>
      </c>
    </row>
    <row r="1241" spans="1:3">
      <c r="A1241" t="s">
        <v>197</v>
      </c>
      <c r="B1241">
        <v>16</v>
      </c>
      <c r="C1241">
        <v>65</v>
      </c>
    </row>
    <row r="1242" spans="1:3">
      <c r="A1242" t="s">
        <v>197</v>
      </c>
      <c r="B1242">
        <v>17</v>
      </c>
      <c r="C1242">
        <v>74</v>
      </c>
    </row>
    <row r="1243" spans="1:3">
      <c r="A1243" t="s">
        <v>197</v>
      </c>
      <c r="B1243">
        <v>18</v>
      </c>
      <c r="C1243">
        <v>63</v>
      </c>
    </row>
    <row r="1244" spans="1:3">
      <c r="A1244" t="s">
        <v>197</v>
      </c>
      <c r="B1244">
        <v>19</v>
      </c>
      <c r="C1244">
        <v>73</v>
      </c>
    </row>
    <row r="1245" spans="1:3">
      <c r="A1245" t="s">
        <v>197</v>
      </c>
      <c r="B1245">
        <v>20</v>
      </c>
      <c r="C1245">
        <v>55</v>
      </c>
    </row>
    <row r="1246" spans="1:3">
      <c r="A1246" t="s">
        <v>197</v>
      </c>
      <c r="B1246">
        <v>21</v>
      </c>
      <c r="C1246">
        <v>62</v>
      </c>
    </row>
    <row r="1247" spans="1:3">
      <c r="A1247" t="s">
        <v>197</v>
      </c>
      <c r="B1247">
        <v>22</v>
      </c>
      <c r="C1247">
        <v>50</v>
      </c>
    </row>
    <row r="1248" spans="1:3">
      <c r="A1248" t="s">
        <v>197</v>
      </c>
      <c r="B1248">
        <v>23</v>
      </c>
      <c r="C1248">
        <v>43</v>
      </c>
    </row>
    <row r="1249" spans="1:3">
      <c r="A1249" t="s">
        <v>197</v>
      </c>
      <c r="B1249">
        <v>24</v>
      </c>
      <c r="C1249">
        <v>39</v>
      </c>
    </row>
    <row r="1250" spans="1:3">
      <c r="A1250" t="s">
        <v>221</v>
      </c>
      <c r="B1250">
        <v>1</v>
      </c>
      <c r="C1250">
        <v>0</v>
      </c>
    </row>
    <row r="1251" spans="1:3">
      <c r="A1251" t="s">
        <v>221</v>
      </c>
      <c r="B1251">
        <v>2</v>
      </c>
      <c r="C1251">
        <v>0</v>
      </c>
    </row>
    <row r="1252" spans="1:3">
      <c r="A1252" t="s">
        <v>221</v>
      </c>
      <c r="B1252">
        <v>3</v>
      </c>
      <c r="C1252">
        <v>0</v>
      </c>
    </row>
    <row r="1253" spans="1:3">
      <c r="A1253" t="s">
        <v>221</v>
      </c>
      <c r="B1253">
        <v>4</v>
      </c>
      <c r="C1253">
        <v>9</v>
      </c>
    </row>
    <row r="1254" spans="1:3">
      <c r="A1254" t="s">
        <v>221</v>
      </c>
      <c r="B1254">
        <v>5</v>
      </c>
      <c r="C1254">
        <v>22</v>
      </c>
    </row>
    <row r="1255" spans="1:3">
      <c r="A1255" t="s">
        <v>221</v>
      </c>
      <c r="B1255">
        <v>6</v>
      </c>
      <c r="C1255">
        <v>63</v>
      </c>
    </row>
    <row r="1256" spans="1:3">
      <c r="A1256" t="s">
        <v>221</v>
      </c>
      <c r="B1256">
        <v>7</v>
      </c>
      <c r="C1256">
        <v>73</v>
      </c>
    </row>
    <row r="1257" spans="1:3">
      <c r="A1257" t="s">
        <v>221</v>
      </c>
      <c r="B1257">
        <v>8</v>
      </c>
      <c r="C1257">
        <v>73</v>
      </c>
    </row>
    <row r="1258" spans="1:3">
      <c r="A1258" t="s">
        <v>221</v>
      </c>
      <c r="B1258">
        <v>9</v>
      </c>
      <c r="C1258">
        <v>60</v>
      </c>
    </row>
    <row r="1259" spans="1:3">
      <c r="A1259" t="s">
        <v>221</v>
      </c>
      <c r="B1259">
        <v>10</v>
      </c>
      <c r="C1259">
        <v>53</v>
      </c>
    </row>
    <row r="1260" spans="1:3">
      <c r="A1260" t="s">
        <v>221</v>
      </c>
      <c r="B1260">
        <v>11</v>
      </c>
      <c r="C1260">
        <v>67</v>
      </c>
    </row>
    <row r="1261" spans="1:3">
      <c r="A1261" t="s">
        <v>221</v>
      </c>
      <c r="B1261">
        <v>12</v>
      </c>
      <c r="C1261">
        <v>48</v>
      </c>
    </row>
    <row r="1262" spans="1:3">
      <c r="A1262" t="s">
        <v>221</v>
      </c>
      <c r="B1262">
        <v>13</v>
      </c>
      <c r="C1262">
        <v>54</v>
      </c>
    </row>
    <row r="1263" spans="1:3">
      <c r="A1263" t="s">
        <v>221</v>
      </c>
      <c r="B1263">
        <v>14</v>
      </c>
      <c r="C1263">
        <v>59</v>
      </c>
    </row>
    <row r="1264" spans="1:3">
      <c r="A1264" t="s">
        <v>221</v>
      </c>
      <c r="B1264">
        <v>15</v>
      </c>
      <c r="C1264">
        <v>59</v>
      </c>
    </row>
    <row r="1265" spans="1:3">
      <c r="A1265" t="s">
        <v>221</v>
      </c>
      <c r="B1265">
        <v>16</v>
      </c>
      <c r="C1265">
        <v>65</v>
      </c>
    </row>
    <row r="1266" spans="1:3">
      <c r="A1266" t="s">
        <v>221</v>
      </c>
      <c r="B1266">
        <v>17</v>
      </c>
      <c r="C1266">
        <v>72</v>
      </c>
    </row>
    <row r="1267" spans="1:3">
      <c r="A1267" t="s">
        <v>221</v>
      </c>
      <c r="B1267">
        <v>18</v>
      </c>
      <c r="C1267">
        <v>59</v>
      </c>
    </row>
    <row r="1268" spans="1:3">
      <c r="A1268" t="s">
        <v>221</v>
      </c>
      <c r="B1268">
        <v>19</v>
      </c>
      <c r="C1268">
        <v>44</v>
      </c>
    </row>
    <row r="1269" spans="1:3">
      <c r="A1269" t="s">
        <v>221</v>
      </c>
      <c r="B1269">
        <v>20</v>
      </c>
      <c r="C1269">
        <v>39</v>
      </c>
    </row>
    <row r="1270" spans="1:3">
      <c r="A1270" t="s">
        <v>221</v>
      </c>
      <c r="B1270">
        <v>21</v>
      </c>
      <c r="C1270">
        <v>28</v>
      </c>
    </row>
    <row r="1271" spans="1:3">
      <c r="A1271" t="s">
        <v>221</v>
      </c>
      <c r="B1271">
        <v>22</v>
      </c>
      <c r="C1271">
        <v>27</v>
      </c>
    </row>
    <row r="1272" spans="1:3">
      <c r="A1272" t="s">
        <v>221</v>
      </c>
      <c r="B1272">
        <v>23</v>
      </c>
      <c r="C1272">
        <v>30</v>
      </c>
    </row>
    <row r="1273" spans="1:3">
      <c r="A1273" t="s">
        <v>221</v>
      </c>
      <c r="B1273">
        <v>24</v>
      </c>
      <c r="C1273">
        <v>10</v>
      </c>
    </row>
    <row r="1274" spans="1:3">
      <c r="A1274" t="s">
        <v>209</v>
      </c>
      <c r="B1274">
        <v>1</v>
      </c>
      <c r="C1274">
        <v>0</v>
      </c>
    </row>
    <row r="1275" spans="1:3">
      <c r="A1275" t="s">
        <v>209</v>
      </c>
      <c r="B1275">
        <v>2</v>
      </c>
      <c r="C1275">
        <v>0</v>
      </c>
    </row>
    <row r="1276" spans="1:3">
      <c r="A1276" t="s">
        <v>209</v>
      </c>
      <c r="B1276">
        <v>3</v>
      </c>
      <c r="C1276">
        <v>0</v>
      </c>
    </row>
    <row r="1277" spans="1:3">
      <c r="A1277" t="s">
        <v>209</v>
      </c>
      <c r="B1277">
        <v>4</v>
      </c>
      <c r="C1277">
        <v>10</v>
      </c>
    </row>
    <row r="1278" spans="1:3">
      <c r="A1278" t="s">
        <v>209</v>
      </c>
      <c r="B1278">
        <v>5</v>
      </c>
      <c r="C1278">
        <v>23</v>
      </c>
    </row>
    <row r="1279" spans="1:3">
      <c r="A1279" t="s">
        <v>209</v>
      </c>
      <c r="B1279">
        <v>6</v>
      </c>
      <c r="C1279">
        <v>47</v>
      </c>
    </row>
    <row r="1280" spans="1:3">
      <c r="A1280" t="s">
        <v>209</v>
      </c>
      <c r="B1280">
        <v>7</v>
      </c>
      <c r="C1280">
        <v>73</v>
      </c>
    </row>
    <row r="1281" spans="1:3">
      <c r="A1281" t="s">
        <v>209</v>
      </c>
      <c r="B1281">
        <v>8</v>
      </c>
      <c r="C1281">
        <v>69</v>
      </c>
    </row>
    <row r="1282" spans="1:3">
      <c r="A1282" t="s">
        <v>209</v>
      </c>
      <c r="B1282">
        <v>9</v>
      </c>
      <c r="C1282">
        <v>52</v>
      </c>
    </row>
    <row r="1283" spans="1:3">
      <c r="A1283" t="s">
        <v>209</v>
      </c>
      <c r="B1283">
        <v>10</v>
      </c>
      <c r="C1283">
        <v>50</v>
      </c>
    </row>
    <row r="1284" spans="1:3">
      <c r="A1284" t="s">
        <v>209</v>
      </c>
      <c r="B1284">
        <v>11</v>
      </c>
      <c r="C1284">
        <v>54</v>
      </c>
    </row>
    <row r="1285" spans="1:3">
      <c r="A1285" t="s">
        <v>209</v>
      </c>
      <c r="B1285">
        <v>12</v>
      </c>
      <c r="C1285">
        <v>69</v>
      </c>
    </row>
    <row r="1286" spans="1:3">
      <c r="A1286" t="s">
        <v>209</v>
      </c>
      <c r="B1286">
        <v>13</v>
      </c>
      <c r="C1286">
        <v>55</v>
      </c>
    </row>
    <row r="1287" spans="1:3">
      <c r="A1287" t="s">
        <v>209</v>
      </c>
      <c r="B1287">
        <v>14</v>
      </c>
      <c r="C1287">
        <v>73</v>
      </c>
    </row>
    <row r="1288" spans="1:3">
      <c r="A1288" t="s">
        <v>209</v>
      </c>
      <c r="B1288">
        <v>15</v>
      </c>
      <c r="C1288">
        <v>79</v>
      </c>
    </row>
    <row r="1289" spans="1:3">
      <c r="A1289" t="s">
        <v>209</v>
      </c>
      <c r="B1289">
        <v>16</v>
      </c>
      <c r="C1289">
        <v>62</v>
      </c>
    </row>
    <row r="1290" spans="1:3">
      <c r="A1290" t="s">
        <v>209</v>
      </c>
      <c r="B1290">
        <v>17</v>
      </c>
      <c r="C1290">
        <v>54</v>
      </c>
    </row>
    <row r="1291" spans="1:3">
      <c r="A1291" t="s">
        <v>209</v>
      </c>
      <c r="B1291">
        <v>18</v>
      </c>
      <c r="C1291">
        <v>53</v>
      </c>
    </row>
    <row r="1292" spans="1:3">
      <c r="A1292" t="s">
        <v>209</v>
      </c>
      <c r="B1292">
        <v>19</v>
      </c>
      <c r="C1292">
        <v>42</v>
      </c>
    </row>
    <row r="1293" spans="1:3">
      <c r="A1293" t="s">
        <v>209</v>
      </c>
      <c r="B1293">
        <v>20</v>
      </c>
      <c r="C1293">
        <v>41</v>
      </c>
    </row>
    <row r="1294" spans="1:3">
      <c r="A1294" t="s">
        <v>209</v>
      </c>
      <c r="B1294">
        <v>21</v>
      </c>
      <c r="C1294">
        <v>30</v>
      </c>
    </row>
    <row r="1295" spans="1:3">
      <c r="A1295" t="s">
        <v>209</v>
      </c>
      <c r="B1295">
        <v>22</v>
      </c>
      <c r="C1295">
        <v>44</v>
      </c>
    </row>
    <row r="1296" spans="1:3">
      <c r="A1296" t="s">
        <v>209</v>
      </c>
      <c r="B1296">
        <v>23</v>
      </c>
      <c r="C1296">
        <v>37</v>
      </c>
    </row>
    <row r="1297" spans="1:3">
      <c r="A1297" t="s">
        <v>209</v>
      </c>
      <c r="B1297">
        <v>24</v>
      </c>
      <c r="C1297">
        <v>11</v>
      </c>
    </row>
    <row r="1298" spans="1:3">
      <c r="A1298" t="s">
        <v>246</v>
      </c>
      <c r="B1298">
        <v>1</v>
      </c>
      <c r="C1298">
        <v>0</v>
      </c>
    </row>
    <row r="1299" spans="1:3">
      <c r="A1299" t="s">
        <v>246</v>
      </c>
      <c r="B1299">
        <v>2</v>
      </c>
      <c r="C1299">
        <v>0</v>
      </c>
    </row>
    <row r="1300" spans="1:3">
      <c r="A1300" t="s">
        <v>246</v>
      </c>
      <c r="B1300">
        <v>3</v>
      </c>
      <c r="C1300">
        <v>0</v>
      </c>
    </row>
    <row r="1301" spans="1:3">
      <c r="A1301" t="s">
        <v>246</v>
      </c>
      <c r="B1301">
        <v>4</v>
      </c>
      <c r="C1301">
        <v>7</v>
      </c>
    </row>
    <row r="1302" spans="1:3">
      <c r="A1302" t="s">
        <v>246</v>
      </c>
      <c r="B1302">
        <v>5</v>
      </c>
      <c r="C1302">
        <v>25</v>
      </c>
    </row>
    <row r="1303" spans="1:3">
      <c r="A1303" t="s">
        <v>246</v>
      </c>
      <c r="B1303">
        <v>6</v>
      </c>
      <c r="C1303">
        <v>40</v>
      </c>
    </row>
    <row r="1304" spans="1:3">
      <c r="A1304" t="s">
        <v>246</v>
      </c>
      <c r="B1304">
        <v>7</v>
      </c>
      <c r="C1304">
        <v>35</v>
      </c>
    </row>
    <row r="1305" spans="1:3">
      <c r="A1305" t="s">
        <v>246</v>
      </c>
      <c r="B1305">
        <v>8</v>
      </c>
      <c r="C1305">
        <v>44</v>
      </c>
    </row>
    <row r="1306" spans="1:3">
      <c r="A1306" t="s">
        <v>246</v>
      </c>
      <c r="B1306">
        <v>9</v>
      </c>
      <c r="C1306">
        <v>48</v>
      </c>
    </row>
    <row r="1307" spans="1:3">
      <c r="A1307" t="s">
        <v>246</v>
      </c>
      <c r="B1307">
        <v>10</v>
      </c>
      <c r="C1307">
        <v>34</v>
      </c>
    </row>
    <row r="1308" spans="1:3">
      <c r="A1308" t="s">
        <v>246</v>
      </c>
      <c r="B1308">
        <v>11</v>
      </c>
      <c r="C1308">
        <v>24</v>
      </c>
    </row>
    <row r="1309" spans="1:3">
      <c r="A1309" t="s">
        <v>246</v>
      </c>
      <c r="B1309">
        <v>12</v>
      </c>
      <c r="C1309">
        <v>45</v>
      </c>
    </row>
    <row r="1310" spans="1:3">
      <c r="A1310" t="s">
        <v>246</v>
      </c>
      <c r="B1310">
        <v>13</v>
      </c>
      <c r="C1310">
        <v>31</v>
      </c>
    </row>
    <row r="1311" spans="1:3">
      <c r="A1311" t="s">
        <v>246</v>
      </c>
      <c r="B1311">
        <v>14</v>
      </c>
      <c r="C1311">
        <v>29</v>
      </c>
    </row>
    <row r="1312" spans="1:3">
      <c r="A1312" t="s">
        <v>246</v>
      </c>
      <c r="B1312">
        <v>15</v>
      </c>
      <c r="C1312">
        <v>35</v>
      </c>
    </row>
    <row r="1313" spans="1:3">
      <c r="A1313" t="s">
        <v>246</v>
      </c>
      <c r="B1313">
        <v>16</v>
      </c>
      <c r="C1313">
        <v>31</v>
      </c>
    </row>
    <row r="1314" spans="1:3">
      <c r="A1314" t="s">
        <v>246</v>
      </c>
      <c r="B1314">
        <v>17</v>
      </c>
      <c r="C1314">
        <v>32</v>
      </c>
    </row>
    <row r="1315" spans="1:3">
      <c r="A1315" t="s">
        <v>246</v>
      </c>
      <c r="B1315">
        <v>18</v>
      </c>
      <c r="C1315">
        <v>28</v>
      </c>
    </row>
    <row r="1316" spans="1:3">
      <c r="A1316" t="s">
        <v>246</v>
      </c>
      <c r="B1316">
        <v>19</v>
      </c>
      <c r="C1316">
        <v>25</v>
      </c>
    </row>
    <row r="1317" spans="1:3">
      <c r="A1317" t="s">
        <v>246</v>
      </c>
      <c r="B1317">
        <v>20</v>
      </c>
      <c r="C1317">
        <v>16</v>
      </c>
    </row>
    <row r="1318" spans="1:3">
      <c r="A1318" t="s">
        <v>246</v>
      </c>
      <c r="B1318">
        <v>21</v>
      </c>
      <c r="C1318">
        <v>15</v>
      </c>
    </row>
    <row r="1319" spans="1:3">
      <c r="A1319" t="s">
        <v>246</v>
      </c>
      <c r="B1319">
        <v>22</v>
      </c>
      <c r="C1319">
        <v>12</v>
      </c>
    </row>
    <row r="1320" spans="1:3">
      <c r="A1320" t="s">
        <v>246</v>
      </c>
      <c r="B1320">
        <v>23</v>
      </c>
      <c r="C1320">
        <v>8</v>
      </c>
    </row>
    <row r="1321" spans="1:3">
      <c r="A1321" t="s">
        <v>246</v>
      </c>
      <c r="B1321">
        <v>24</v>
      </c>
      <c r="C1321">
        <v>4</v>
      </c>
    </row>
    <row r="1322" spans="1:3">
      <c r="A1322" t="s">
        <v>199</v>
      </c>
      <c r="B1322">
        <v>1</v>
      </c>
      <c r="C1322">
        <v>0</v>
      </c>
    </row>
    <row r="1323" spans="1:3">
      <c r="A1323" t="s">
        <v>199</v>
      </c>
      <c r="B1323">
        <v>2</v>
      </c>
      <c r="C1323">
        <v>0</v>
      </c>
    </row>
    <row r="1324" spans="1:3">
      <c r="A1324" t="s">
        <v>199</v>
      </c>
      <c r="B1324">
        <v>3</v>
      </c>
      <c r="C1324">
        <v>0</v>
      </c>
    </row>
    <row r="1325" spans="1:3">
      <c r="A1325" t="s">
        <v>199</v>
      </c>
      <c r="B1325">
        <v>4</v>
      </c>
      <c r="C1325">
        <v>8</v>
      </c>
    </row>
    <row r="1326" spans="1:3">
      <c r="A1326" t="s">
        <v>199</v>
      </c>
      <c r="B1326">
        <v>5</v>
      </c>
      <c r="C1326">
        <v>21</v>
      </c>
    </row>
    <row r="1327" spans="1:3">
      <c r="A1327" t="s">
        <v>199</v>
      </c>
      <c r="B1327">
        <v>6</v>
      </c>
      <c r="C1327">
        <v>59</v>
      </c>
    </row>
    <row r="1328" spans="1:3">
      <c r="A1328" t="s">
        <v>199</v>
      </c>
      <c r="B1328">
        <v>7</v>
      </c>
      <c r="C1328">
        <v>76</v>
      </c>
    </row>
    <row r="1329" spans="1:3">
      <c r="A1329" t="s">
        <v>199</v>
      </c>
      <c r="B1329">
        <v>8</v>
      </c>
      <c r="C1329">
        <v>68</v>
      </c>
    </row>
    <row r="1330" spans="1:3">
      <c r="A1330" t="s">
        <v>199</v>
      </c>
      <c r="B1330">
        <v>9</v>
      </c>
      <c r="C1330">
        <v>78</v>
      </c>
    </row>
    <row r="1331" spans="1:3">
      <c r="A1331" t="s">
        <v>199</v>
      </c>
      <c r="B1331">
        <v>10</v>
      </c>
      <c r="C1331">
        <v>55</v>
      </c>
    </row>
    <row r="1332" spans="1:3">
      <c r="A1332" t="s">
        <v>199</v>
      </c>
      <c r="B1332">
        <v>11</v>
      </c>
      <c r="C1332">
        <v>58</v>
      </c>
    </row>
    <row r="1333" spans="1:3">
      <c r="A1333" t="s">
        <v>199</v>
      </c>
      <c r="B1333">
        <v>12</v>
      </c>
      <c r="C1333">
        <v>70</v>
      </c>
    </row>
    <row r="1334" spans="1:3">
      <c r="A1334" t="s">
        <v>199</v>
      </c>
      <c r="B1334">
        <v>13</v>
      </c>
      <c r="C1334">
        <v>66</v>
      </c>
    </row>
    <row r="1335" spans="1:3">
      <c r="A1335" t="s">
        <v>199</v>
      </c>
      <c r="B1335">
        <v>14</v>
      </c>
      <c r="C1335">
        <v>79</v>
      </c>
    </row>
    <row r="1336" spans="1:3">
      <c r="A1336" t="s">
        <v>199</v>
      </c>
      <c r="B1336">
        <v>15</v>
      </c>
      <c r="C1336">
        <v>86</v>
      </c>
    </row>
    <row r="1337" spans="1:3">
      <c r="A1337" t="s">
        <v>199</v>
      </c>
      <c r="B1337">
        <v>16</v>
      </c>
      <c r="C1337">
        <v>80</v>
      </c>
    </row>
    <row r="1338" spans="1:3">
      <c r="A1338" t="s">
        <v>199</v>
      </c>
      <c r="B1338">
        <v>17</v>
      </c>
      <c r="C1338">
        <v>81</v>
      </c>
    </row>
    <row r="1339" spans="1:3">
      <c r="A1339" t="s">
        <v>199</v>
      </c>
      <c r="B1339">
        <v>18</v>
      </c>
      <c r="C1339">
        <v>70</v>
      </c>
    </row>
    <row r="1340" spans="1:3">
      <c r="A1340" t="s">
        <v>199</v>
      </c>
      <c r="B1340">
        <v>19</v>
      </c>
      <c r="C1340">
        <v>76</v>
      </c>
    </row>
    <row r="1341" spans="1:3">
      <c r="A1341" t="s">
        <v>199</v>
      </c>
      <c r="B1341">
        <v>20</v>
      </c>
      <c r="C1341">
        <v>71</v>
      </c>
    </row>
    <row r="1342" spans="1:3">
      <c r="A1342" t="s">
        <v>199</v>
      </c>
      <c r="B1342">
        <v>21</v>
      </c>
      <c r="C1342">
        <v>61</v>
      </c>
    </row>
    <row r="1343" spans="1:3">
      <c r="A1343" t="s">
        <v>199</v>
      </c>
      <c r="B1343">
        <v>22</v>
      </c>
      <c r="C1343">
        <v>60</v>
      </c>
    </row>
    <row r="1344" spans="1:3">
      <c r="A1344" t="s">
        <v>199</v>
      </c>
      <c r="B1344">
        <v>23</v>
      </c>
      <c r="C1344">
        <v>41</v>
      </c>
    </row>
    <row r="1345" spans="1:3">
      <c r="A1345" t="s">
        <v>199</v>
      </c>
      <c r="B1345">
        <v>24</v>
      </c>
      <c r="C1345">
        <v>20</v>
      </c>
    </row>
    <row r="1346" spans="1:3">
      <c r="A1346" t="s">
        <v>169</v>
      </c>
      <c r="B1346">
        <v>1</v>
      </c>
      <c r="C1346">
        <v>88</v>
      </c>
    </row>
    <row r="1347" spans="1:3">
      <c r="A1347" t="s">
        <v>169</v>
      </c>
      <c r="B1347">
        <v>2</v>
      </c>
      <c r="C1347">
        <v>26</v>
      </c>
    </row>
    <row r="1348" spans="1:3">
      <c r="A1348" t="s">
        <v>169</v>
      </c>
      <c r="B1348">
        <v>3</v>
      </c>
      <c r="C1348">
        <v>0</v>
      </c>
    </row>
    <row r="1349" spans="1:3">
      <c r="A1349" t="s">
        <v>169</v>
      </c>
      <c r="B1349">
        <v>4</v>
      </c>
      <c r="C1349">
        <v>22</v>
      </c>
    </row>
    <row r="1350" spans="1:3">
      <c r="A1350" t="s">
        <v>169</v>
      </c>
      <c r="B1350">
        <v>5</v>
      </c>
      <c r="C1350">
        <v>65</v>
      </c>
    </row>
    <row r="1351" spans="1:3">
      <c r="A1351" t="s">
        <v>169</v>
      </c>
      <c r="B1351">
        <v>6</v>
      </c>
      <c r="C1351">
        <v>70</v>
      </c>
    </row>
    <row r="1352" spans="1:3">
      <c r="A1352" t="s">
        <v>169</v>
      </c>
      <c r="B1352">
        <v>7</v>
      </c>
      <c r="C1352">
        <v>118</v>
      </c>
    </row>
    <row r="1353" spans="1:3">
      <c r="A1353" t="s">
        <v>169</v>
      </c>
      <c r="B1353">
        <v>8</v>
      </c>
      <c r="C1353">
        <v>109</v>
      </c>
    </row>
    <row r="1354" spans="1:3">
      <c r="A1354" t="s">
        <v>169</v>
      </c>
      <c r="B1354">
        <v>9</v>
      </c>
      <c r="C1354">
        <v>117</v>
      </c>
    </row>
    <row r="1355" spans="1:3">
      <c r="A1355" t="s">
        <v>169</v>
      </c>
      <c r="B1355">
        <v>10</v>
      </c>
      <c r="C1355">
        <v>111</v>
      </c>
    </row>
    <row r="1356" spans="1:3">
      <c r="A1356" t="s">
        <v>169</v>
      </c>
      <c r="B1356">
        <v>11</v>
      </c>
      <c r="C1356">
        <v>106</v>
      </c>
    </row>
    <row r="1357" spans="1:3">
      <c r="A1357" t="s">
        <v>169</v>
      </c>
      <c r="B1357">
        <v>12</v>
      </c>
      <c r="C1357">
        <v>111</v>
      </c>
    </row>
    <row r="1358" spans="1:3">
      <c r="A1358" t="s">
        <v>169</v>
      </c>
      <c r="B1358">
        <v>13</v>
      </c>
      <c r="C1358">
        <v>110</v>
      </c>
    </row>
    <row r="1359" spans="1:3">
      <c r="A1359" t="s">
        <v>169</v>
      </c>
      <c r="B1359">
        <v>14</v>
      </c>
      <c r="C1359">
        <v>123</v>
      </c>
    </row>
    <row r="1360" spans="1:3">
      <c r="A1360" t="s">
        <v>169</v>
      </c>
      <c r="B1360">
        <v>15</v>
      </c>
      <c r="C1360">
        <v>117</v>
      </c>
    </row>
    <row r="1361" spans="1:3">
      <c r="A1361" t="s">
        <v>169</v>
      </c>
      <c r="B1361">
        <v>16</v>
      </c>
      <c r="C1361">
        <v>115</v>
      </c>
    </row>
    <row r="1362" spans="1:3">
      <c r="A1362" t="s">
        <v>169</v>
      </c>
      <c r="B1362">
        <v>17</v>
      </c>
      <c r="C1362">
        <v>120</v>
      </c>
    </row>
    <row r="1363" spans="1:3">
      <c r="A1363" t="s">
        <v>169</v>
      </c>
      <c r="B1363">
        <v>18</v>
      </c>
      <c r="C1363">
        <v>133</v>
      </c>
    </row>
    <row r="1364" spans="1:3">
      <c r="A1364" t="s">
        <v>169</v>
      </c>
      <c r="B1364">
        <v>19</v>
      </c>
      <c r="C1364">
        <v>123</v>
      </c>
    </row>
    <row r="1365" spans="1:3">
      <c r="A1365" t="s">
        <v>169</v>
      </c>
      <c r="B1365">
        <v>20</v>
      </c>
      <c r="C1365">
        <v>117</v>
      </c>
    </row>
    <row r="1366" spans="1:3">
      <c r="A1366" t="s">
        <v>169</v>
      </c>
      <c r="B1366">
        <v>21</v>
      </c>
      <c r="C1366">
        <v>110</v>
      </c>
    </row>
    <row r="1367" spans="1:3">
      <c r="A1367" t="s">
        <v>169</v>
      </c>
      <c r="B1367">
        <v>22</v>
      </c>
      <c r="C1367">
        <v>94</v>
      </c>
    </row>
    <row r="1368" spans="1:3">
      <c r="A1368" t="s">
        <v>169</v>
      </c>
      <c r="B1368">
        <v>23</v>
      </c>
      <c r="C1368">
        <v>101</v>
      </c>
    </row>
    <row r="1369" spans="1:3">
      <c r="A1369" t="s">
        <v>169</v>
      </c>
      <c r="B1369">
        <v>24</v>
      </c>
      <c r="C1369">
        <v>65</v>
      </c>
    </row>
    <row r="1370" spans="1:3">
      <c r="A1370" t="s">
        <v>207</v>
      </c>
      <c r="B1370">
        <v>1</v>
      </c>
      <c r="C1370">
        <v>0</v>
      </c>
    </row>
    <row r="1371" spans="1:3">
      <c r="A1371" t="s">
        <v>207</v>
      </c>
      <c r="B1371">
        <v>2</v>
      </c>
      <c r="C1371">
        <v>0</v>
      </c>
    </row>
    <row r="1372" spans="1:3">
      <c r="A1372" t="s">
        <v>207</v>
      </c>
      <c r="B1372">
        <v>3</v>
      </c>
      <c r="C1372">
        <v>0</v>
      </c>
    </row>
    <row r="1373" spans="1:3">
      <c r="A1373" t="s">
        <v>207</v>
      </c>
      <c r="B1373">
        <v>4</v>
      </c>
      <c r="C1373">
        <v>22</v>
      </c>
    </row>
    <row r="1374" spans="1:3">
      <c r="A1374" t="s">
        <v>207</v>
      </c>
      <c r="B1374">
        <v>5</v>
      </c>
      <c r="C1374">
        <v>58</v>
      </c>
    </row>
    <row r="1375" spans="1:3">
      <c r="A1375" t="s">
        <v>207</v>
      </c>
      <c r="B1375">
        <v>6</v>
      </c>
      <c r="C1375">
        <v>55</v>
      </c>
    </row>
    <row r="1376" spans="1:3">
      <c r="A1376" t="s">
        <v>207</v>
      </c>
      <c r="B1376">
        <v>7</v>
      </c>
      <c r="C1376">
        <v>65</v>
      </c>
    </row>
    <row r="1377" spans="1:3">
      <c r="A1377" t="s">
        <v>207</v>
      </c>
      <c r="B1377">
        <v>8</v>
      </c>
      <c r="C1377">
        <v>63</v>
      </c>
    </row>
    <row r="1378" spans="1:3">
      <c r="A1378" t="s">
        <v>207</v>
      </c>
      <c r="B1378">
        <v>9</v>
      </c>
      <c r="C1378">
        <v>62</v>
      </c>
    </row>
    <row r="1379" spans="1:3">
      <c r="A1379" t="s">
        <v>207</v>
      </c>
      <c r="B1379">
        <v>10</v>
      </c>
      <c r="C1379">
        <v>54</v>
      </c>
    </row>
    <row r="1380" spans="1:3">
      <c r="A1380" t="s">
        <v>207</v>
      </c>
      <c r="B1380">
        <v>11</v>
      </c>
      <c r="C1380">
        <v>77</v>
      </c>
    </row>
    <row r="1381" spans="1:3">
      <c r="A1381" t="s">
        <v>207</v>
      </c>
      <c r="B1381">
        <v>12</v>
      </c>
      <c r="C1381">
        <v>55</v>
      </c>
    </row>
    <row r="1382" spans="1:3">
      <c r="A1382" t="s">
        <v>207</v>
      </c>
      <c r="B1382">
        <v>13</v>
      </c>
      <c r="C1382">
        <v>62</v>
      </c>
    </row>
    <row r="1383" spans="1:3">
      <c r="A1383" t="s">
        <v>207</v>
      </c>
      <c r="B1383">
        <v>14</v>
      </c>
      <c r="C1383">
        <v>69</v>
      </c>
    </row>
    <row r="1384" spans="1:3">
      <c r="A1384" t="s">
        <v>207</v>
      </c>
      <c r="B1384">
        <v>15</v>
      </c>
      <c r="C1384">
        <v>79</v>
      </c>
    </row>
    <row r="1385" spans="1:3">
      <c r="A1385" t="s">
        <v>207</v>
      </c>
      <c r="B1385">
        <v>16</v>
      </c>
      <c r="C1385">
        <v>80</v>
      </c>
    </row>
    <row r="1386" spans="1:3">
      <c r="A1386" t="s">
        <v>207</v>
      </c>
      <c r="B1386">
        <v>17</v>
      </c>
      <c r="C1386">
        <v>67</v>
      </c>
    </row>
    <row r="1387" spans="1:3">
      <c r="A1387" t="s">
        <v>207</v>
      </c>
      <c r="B1387">
        <v>18</v>
      </c>
      <c r="C1387">
        <v>66</v>
      </c>
    </row>
    <row r="1388" spans="1:3">
      <c r="A1388" t="s">
        <v>207</v>
      </c>
      <c r="B1388">
        <v>19</v>
      </c>
      <c r="C1388">
        <v>53</v>
      </c>
    </row>
    <row r="1389" spans="1:3">
      <c r="A1389" t="s">
        <v>207</v>
      </c>
      <c r="B1389">
        <v>20</v>
      </c>
      <c r="C1389">
        <v>43</v>
      </c>
    </row>
    <row r="1390" spans="1:3">
      <c r="A1390" t="s">
        <v>207</v>
      </c>
      <c r="B1390">
        <v>21</v>
      </c>
      <c r="C1390">
        <v>50</v>
      </c>
    </row>
    <row r="1391" spans="1:3">
      <c r="A1391" t="s">
        <v>207</v>
      </c>
      <c r="B1391">
        <v>22</v>
      </c>
      <c r="C1391">
        <v>29</v>
      </c>
    </row>
    <row r="1392" spans="1:3">
      <c r="A1392" t="s">
        <v>207</v>
      </c>
      <c r="B1392">
        <v>23</v>
      </c>
      <c r="C1392">
        <v>60</v>
      </c>
    </row>
    <row r="1393" spans="1:3">
      <c r="A1393" t="s">
        <v>207</v>
      </c>
      <c r="B1393">
        <v>24</v>
      </c>
      <c r="C1393">
        <v>9</v>
      </c>
    </row>
    <row r="1394" spans="1:3">
      <c r="A1394" t="s">
        <v>181</v>
      </c>
      <c r="B1394">
        <v>1</v>
      </c>
      <c r="C1394">
        <v>0</v>
      </c>
    </row>
    <row r="1395" spans="1:3">
      <c r="A1395" t="s">
        <v>181</v>
      </c>
      <c r="B1395">
        <v>2</v>
      </c>
      <c r="C1395">
        <v>0</v>
      </c>
    </row>
    <row r="1396" spans="1:3">
      <c r="A1396" t="s">
        <v>181</v>
      </c>
      <c r="B1396">
        <v>3</v>
      </c>
      <c r="C1396">
        <v>0</v>
      </c>
    </row>
    <row r="1397" spans="1:3">
      <c r="A1397" t="s">
        <v>181</v>
      </c>
      <c r="B1397">
        <v>4</v>
      </c>
      <c r="C1397">
        <v>25</v>
      </c>
    </row>
    <row r="1398" spans="1:3">
      <c r="A1398" t="s">
        <v>181</v>
      </c>
      <c r="B1398">
        <v>5</v>
      </c>
      <c r="C1398">
        <v>38</v>
      </c>
    </row>
    <row r="1399" spans="1:3">
      <c r="A1399" t="s">
        <v>181</v>
      </c>
      <c r="B1399">
        <v>6</v>
      </c>
      <c r="C1399">
        <v>81</v>
      </c>
    </row>
    <row r="1400" spans="1:3">
      <c r="A1400" t="s">
        <v>181</v>
      </c>
      <c r="B1400">
        <v>7</v>
      </c>
      <c r="C1400">
        <v>79</v>
      </c>
    </row>
    <row r="1401" spans="1:3">
      <c r="A1401" t="s">
        <v>181</v>
      </c>
      <c r="B1401">
        <v>8</v>
      </c>
      <c r="C1401">
        <v>76</v>
      </c>
    </row>
    <row r="1402" spans="1:3">
      <c r="A1402" t="s">
        <v>181</v>
      </c>
      <c r="B1402">
        <v>9</v>
      </c>
      <c r="C1402">
        <v>67</v>
      </c>
    </row>
    <row r="1403" spans="1:3">
      <c r="A1403" t="s">
        <v>181</v>
      </c>
      <c r="B1403">
        <v>10</v>
      </c>
      <c r="C1403">
        <v>59</v>
      </c>
    </row>
    <row r="1404" spans="1:3">
      <c r="A1404" t="s">
        <v>181</v>
      </c>
      <c r="B1404">
        <v>11</v>
      </c>
      <c r="C1404">
        <v>58</v>
      </c>
    </row>
    <row r="1405" spans="1:3">
      <c r="A1405" t="s">
        <v>181</v>
      </c>
      <c r="B1405">
        <v>12</v>
      </c>
      <c r="C1405">
        <v>69</v>
      </c>
    </row>
    <row r="1406" spans="1:3">
      <c r="A1406" t="s">
        <v>181</v>
      </c>
      <c r="B1406">
        <v>13</v>
      </c>
      <c r="C1406">
        <v>65</v>
      </c>
    </row>
    <row r="1407" spans="1:3">
      <c r="A1407" t="s">
        <v>181</v>
      </c>
      <c r="B1407">
        <v>14</v>
      </c>
      <c r="C1407">
        <v>100</v>
      </c>
    </row>
    <row r="1408" spans="1:3">
      <c r="A1408" t="s">
        <v>181</v>
      </c>
      <c r="B1408">
        <v>15</v>
      </c>
      <c r="C1408">
        <v>92</v>
      </c>
    </row>
    <row r="1409" spans="1:3">
      <c r="A1409" t="s">
        <v>181</v>
      </c>
      <c r="B1409">
        <v>16</v>
      </c>
      <c r="C1409">
        <v>87</v>
      </c>
    </row>
    <row r="1410" spans="1:3">
      <c r="A1410" t="s">
        <v>181</v>
      </c>
      <c r="B1410">
        <v>17</v>
      </c>
      <c r="C1410">
        <v>71</v>
      </c>
    </row>
    <row r="1411" spans="1:3">
      <c r="A1411" t="s">
        <v>181</v>
      </c>
      <c r="B1411">
        <v>18</v>
      </c>
      <c r="C1411">
        <v>70</v>
      </c>
    </row>
    <row r="1412" spans="1:3">
      <c r="A1412" t="s">
        <v>181</v>
      </c>
      <c r="B1412">
        <v>19</v>
      </c>
      <c r="C1412">
        <v>45</v>
      </c>
    </row>
    <row r="1413" spans="1:3">
      <c r="A1413" t="s">
        <v>181</v>
      </c>
      <c r="B1413">
        <v>20</v>
      </c>
      <c r="C1413">
        <v>44</v>
      </c>
    </row>
    <row r="1414" spans="1:3">
      <c r="A1414" t="s">
        <v>181</v>
      </c>
      <c r="B1414">
        <v>21</v>
      </c>
      <c r="C1414">
        <v>64</v>
      </c>
    </row>
    <row r="1415" spans="1:3">
      <c r="A1415" t="s">
        <v>181</v>
      </c>
      <c r="B1415">
        <v>22</v>
      </c>
      <c r="C1415">
        <v>23</v>
      </c>
    </row>
    <row r="1416" spans="1:3">
      <c r="A1416" t="s">
        <v>181</v>
      </c>
      <c r="B1416">
        <v>23</v>
      </c>
      <c r="C1416">
        <v>34</v>
      </c>
    </row>
    <row r="1417" spans="1:3">
      <c r="A1417" t="s">
        <v>181</v>
      </c>
      <c r="B1417">
        <v>24</v>
      </c>
      <c r="C1417">
        <v>24</v>
      </c>
    </row>
    <row r="1418" spans="1:3">
      <c r="A1418" t="s">
        <v>182</v>
      </c>
      <c r="B1418">
        <v>1</v>
      </c>
      <c r="C1418">
        <v>12</v>
      </c>
    </row>
    <row r="1419" spans="1:3">
      <c r="A1419" t="s">
        <v>182</v>
      </c>
      <c r="B1419">
        <v>2</v>
      </c>
      <c r="C1419">
        <v>0</v>
      </c>
    </row>
    <row r="1420" spans="1:3">
      <c r="A1420" t="s">
        <v>182</v>
      </c>
      <c r="B1420">
        <v>3</v>
      </c>
      <c r="C1420">
        <v>0</v>
      </c>
    </row>
    <row r="1421" spans="1:3">
      <c r="A1421" t="s">
        <v>182</v>
      </c>
      <c r="B1421">
        <v>4</v>
      </c>
      <c r="C1421">
        <v>5</v>
      </c>
    </row>
    <row r="1422" spans="1:3">
      <c r="A1422" t="s">
        <v>182</v>
      </c>
      <c r="B1422">
        <v>5</v>
      </c>
      <c r="C1422">
        <v>45</v>
      </c>
    </row>
    <row r="1423" spans="1:3">
      <c r="A1423" t="s">
        <v>182</v>
      </c>
      <c r="B1423">
        <v>6</v>
      </c>
      <c r="C1423">
        <v>46</v>
      </c>
    </row>
    <row r="1424" spans="1:3">
      <c r="A1424" t="s">
        <v>182</v>
      </c>
      <c r="B1424">
        <v>7</v>
      </c>
      <c r="C1424">
        <v>74</v>
      </c>
    </row>
    <row r="1425" spans="1:3">
      <c r="A1425" t="s">
        <v>182</v>
      </c>
      <c r="B1425">
        <v>8</v>
      </c>
      <c r="C1425">
        <v>69</v>
      </c>
    </row>
    <row r="1426" spans="1:3">
      <c r="A1426" t="s">
        <v>182</v>
      </c>
      <c r="B1426">
        <v>9</v>
      </c>
      <c r="C1426">
        <v>57</v>
      </c>
    </row>
    <row r="1427" spans="1:3">
      <c r="A1427" t="s">
        <v>182</v>
      </c>
      <c r="B1427">
        <v>10</v>
      </c>
      <c r="C1427">
        <v>38</v>
      </c>
    </row>
    <row r="1428" spans="1:3">
      <c r="A1428" t="s">
        <v>182</v>
      </c>
      <c r="B1428">
        <v>11</v>
      </c>
      <c r="C1428">
        <v>66</v>
      </c>
    </row>
    <row r="1429" spans="1:3">
      <c r="A1429" t="s">
        <v>182</v>
      </c>
      <c r="B1429">
        <v>12</v>
      </c>
      <c r="C1429">
        <v>45</v>
      </c>
    </row>
    <row r="1430" spans="1:3">
      <c r="A1430" t="s">
        <v>182</v>
      </c>
      <c r="B1430">
        <v>13</v>
      </c>
      <c r="C1430">
        <v>57</v>
      </c>
    </row>
    <row r="1431" spans="1:3">
      <c r="A1431" t="s">
        <v>182</v>
      </c>
      <c r="B1431">
        <v>14</v>
      </c>
      <c r="C1431">
        <v>56</v>
      </c>
    </row>
    <row r="1432" spans="1:3">
      <c r="A1432" t="s">
        <v>182</v>
      </c>
      <c r="B1432">
        <v>15</v>
      </c>
      <c r="C1432">
        <v>70</v>
      </c>
    </row>
    <row r="1433" spans="1:3">
      <c r="A1433" t="s">
        <v>182</v>
      </c>
      <c r="B1433">
        <v>16</v>
      </c>
      <c r="C1433">
        <v>65</v>
      </c>
    </row>
    <row r="1434" spans="1:3">
      <c r="A1434" t="s">
        <v>182</v>
      </c>
      <c r="B1434">
        <v>17</v>
      </c>
      <c r="C1434">
        <v>66</v>
      </c>
    </row>
    <row r="1435" spans="1:3">
      <c r="A1435" t="s">
        <v>182</v>
      </c>
      <c r="B1435">
        <v>18</v>
      </c>
      <c r="C1435">
        <v>80</v>
      </c>
    </row>
    <row r="1436" spans="1:3">
      <c r="A1436" t="s">
        <v>182</v>
      </c>
      <c r="B1436">
        <v>19</v>
      </c>
      <c r="C1436">
        <v>100</v>
      </c>
    </row>
    <row r="1437" spans="1:3">
      <c r="A1437" t="s">
        <v>182</v>
      </c>
      <c r="B1437">
        <v>20</v>
      </c>
      <c r="C1437">
        <v>87</v>
      </c>
    </row>
    <row r="1438" spans="1:3">
      <c r="A1438" t="s">
        <v>182</v>
      </c>
      <c r="B1438">
        <v>21</v>
      </c>
      <c r="C1438">
        <v>81</v>
      </c>
    </row>
    <row r="1439" spans="1:3">
      <c r="A1439" t="s">
        <v>182</v>
      </c>
      <c r="B1439">
        <v>22</v>
      </c>
      <c r="C1439">
        <v>62</v>
      </c>
    </row>
    <row r="1440" spans="1:3">
      <c r="A1440" t="s">
        <v>182</v>
      </c>
      <c r="B1440">
        <v>23</v>
      </c>
      <c r="C1440">
        <v>77</v>
      </c>
    </row>
    <row r="1441" spans="1:3">
      <c r="A1441" t="s">
        <v>182</v>
      </c>
      <c r="B1441">
        <v>24</v>
      </c>
      <c r="C1441">
        <v>35</v>
      </c>
    </row>
    <row r="1442" spans="1:3">
      <c r="A1442" t="s">
        <v>248</v>
      </c>
      <c r="B1442">
        <v>1</v>
      </c>
      <c r="C1442">
        <v>0</v>
      </c>
    </row>
    <row r="1443" spans="1:3">
      <c r="A1443" t="s">
        <v>248</v>
      </c>
      <c r="B1443">
        <v>2</v>
      </c>
      <c r="C1443">
        <v>0</v>
      </c>
    </row>
    <row r="1444" spans="1:3">
      <c r="A1444" t="s">
        <v>248</v>
      </c>
      <c r="B1444">
        <v>3</v>
      </c>
      <c r="C1444">
        <v>0</v>
      </c>
    </row>
    <row r="1445" spans="1:3">
      <c r="A1445" t="s">
        <v>248</v>
      </c>
      <c r="B1445">
        <v>4</v>
      </c>
      <c r="C1445">
        <v>15</v>
      </c>
    </row>
    <row r="1446" spans="1:3">
      <c r="A1446" t="s">
        <v>248</v>
      </c>
      <c r="B1446">
        <v>5</v>
      </c>
      <c r="C1446">
        <v>15</v>
      </c>
    </row>
    <row r="1447" spans="1:3">
      <c r="A1447" t="s">
        <v>248</v>
      </c>
      <c r="B1447">
        <v>6</v>
      </c>
      <c r="C1447">
        <v>28</v>
      </c>
    </row>
    <row r="1448" spans="1:3">
      <c r="A1448" t="s">
        <v>248</v>
      </c>
      <c r="B1448">
        <v>7</v>
      </c>
      <c r="C1448">
        <v>34</v>
      </c>
    </row>
    <row r="1449" spans="1:3">
      <c r="A1449" t="s">
        <v>248</v>
      </c>
      <c r="B1449">
        <v>8</v>
      </c>
      <c r="C1449">
        <v>21</v>
      </c>
    </row>
    <row r="1450" spans="1:3">
      <c r="A1450" t="s">
        <v>248</v>
      </c>
      <c r="B1450">
        <v>9</v>
      </c>
      <c r="C1450">
        <v>21</v>
      </c>
    </row>
    <row r="1451" spans="1:3">
      <c r="A1451" t="s">
        <v>248</v>
      </c>
      <c r="B1451">
        <v>10</v>
      </c>
      <c r="C1451">
        <v>23</v>
      </c>
    </row>
    <row r="1452" spans="1:3">
      <c r="A1452" t="s">
        <v>248</v>
      </c>
      <c r="B1452">
        <v>11</v>
      </c>
      <c r="C1452">
        <v>25</v>
      </c>
    </row>
    <row r="1453" spans="1:3">
      <c r="A1453" t="s">
        <v>248</v>
      </c>
      <c r="B1453">
        <v>12</v>
      </c>
      <c r="C1453">
        <v>36</v>
      </c>
    </row>
    <row r="1454" spans="1:3">
      <c r="A1454" t="s">
        <v>248</v>
      </c>
      <c r="B1454">
        <v>13</v>
      </c>
      <c r="C1454">
        <v>30</v>
      </c>
    </row>
    <row r="1455" spans="1:3">
      <c r="A1455" t="s">
        <v>248</v>
      </c>
      <c r="B1455">
        <v>14</v>
      </c>
      <c r="C1455">
        <v>39</v>
      </c>
    </row>
    <row r="1456" spans="1:3">
      <c r="A1456" t="s">
        <v>248</v>
      </c>
      <c r="B1456">
        <v>15</v>
      </c>
      <c r="C1456">
        <v>47</v>
      </c>
    </row>
    <row r="1457" spans="1:3">
      <c r="A1457" t="s">
        <v>248</v>
      </c>
      <c r="B1457">
        <v>16</v>
      </c>
      <c r="C1457">
        <v>28</v>
      </c>
    </row>
    <row r="1458" spans="1:3">
      <c r="A1458" t="s">
        <v>248</v>
      </c>
      <c r="B1458">
        <v>17</v>
      </c>
      <c r="C1458">
        <v>24</v>
      </c>
    </row>
    <row r="1459" spans="1:3">
      <c r="A1459" t="s">
        <v>248</v>
      </c>
      <c r="B1459">
        <v>18</v>
      </c>
      <c r="C1459">
        <v>23</v>
      </c>
    </row>
    <row r="1460" spans="1:3">
      <c r="A1460" t="s">
        <v>248</v>
      </c>
      <c r="B1460">
        <v>19</v>
      </c>
      <c r="C1460">
        <v>16</v>
      </c>
    </row>
    <row r="1461" spans="1:3">
      <c r="A1461" t="s">
        <v>248</v>
      </c>
      <c r="B1461">
        <v>20</v>
      </c>
      <c r="C1461">
        <v>12</v>
      </c>
    </row>
    <row r="1462" spans="1:3">
      <c r="A1462" t="s">
        <v>248</v>
      </c>
      <c r="B1462">
        <v>21</v>
      </c>
      <c r="C1462">
        <v>10</v>
      </c>
    </row>
    <row r="1463" spans="1:3">
      <c r="A1463" t="s">
        <v>248</v>
      </c>
      <c r="B1463">
        <v>22</v>
      </c>
      <c r="C1463">
        <v>10</v>
      </c>
    </row>
    <row r="1464" spans="1:3">
      <c r="A1464" t="s">
        <v>248</v>
      </c>
      <c r="B1464">
        <v>23</v>
      </c>
      <c r="C1464">
        <v>40</v>
      </c>
    </row>
    <row r="1465" spans="1:3">
      <c r="A1465" t="s">
        <v>248</v>
      </c>
      <c r="B1465">
        <v>24</v>
      </c>
      <c r="C1465">
        <v>9</v>
      </c>
    </row>
    <row r="1466" spans="1:3">
      <c r="A1466" t="s">
        <v>236</v>
      </c>
      <c r="B1466">
        <v>1</v>
      </c>
      <c r="C1466">
        <v>0</v>
      </c>
    </row>
    <row r="1467" spans="1:3">
      <c r="A1467" t="s">
        <v>236</v>
      </c>
      <c r="B1467">
        <v>2</v>
      </c>
      <c r="C1467">
        <v>0</v>
      </c>
    </row>
    <row r="1468" spans="1:3">
      <c r="A1468" t="s">
        <v>236</v>
      </c>
      <c r="B1468">
        <v>3</v>
      </c>
      <c r="C1468">
        <v>0</v>
      </c>
    </row>
    <row r="1469" spans="1:3">
      <c r="A1469" t="s">
        <v>236</v>
      </c>
      <c r="B1469">
        <v>4</v>
      </c>
      <c r="C1469">
        <v>11</v>
      </c>
    </row>
    <row r="1470" spans="1:3">
      <c r="A1470" t="s">
        <v>236</v>
      </c>
      <c r="B1470">
        <v>5</v>
      </c>
      <c r="C1470">
        <v>31</v>
      </c>
    </row>
    <row r="1471" spans="1:3">
      <c r="A1471" t="s">
        <v>236</v>
      </c>
      <c r="B1471">
        <v>6</v>
      </c>
      <c r="C1471">
        <v>37</v>
      </c>
    </row>
    <row r="1472" spans="1:3">
      <c r="A1472" t="s">
        <v>236</v>
      </c>
      <c r="B1472">
        <v>7</v>
      </c>
      <c r="C1472">
        <v>45</v>
      </c>
    </row>
    <row r="1473" spans="1:3">
      <c r="A1473" t="s">
        <v>236</v>
      </c>
      <c r="B1473">
        <v>8</v>
      </c>
      <c r="C1473">
        <v>27</v>
      </c>
    </row>
    <row r="1474" spans="1:3">
      <c r="A1474" t="s">
        <v>236</v>
      </c>
      <c r="B1474">
        <v>9</v>
      </c>
      <c r="C1474">
        <v>36</v>
      </c>
    </row>
    <row r="1475" spans="1:3">
      <c r="A1475" t="s">
        <v>236</v>
      </c>
      <c r="B1475">
        <v>10</v>
      </c>
      <c r="C1475">
        <v>38</v>
      </c>
    </row>
    <row r="1476" spans="1:3">
      <c r="A1476" t="s">
        <v>236</v>
      </c>
      <c r="B1476">
        <v>11</v>
      </c>
      <c r="C1476">
        <v>31</v>
      </c>
    </row>
    <row r="1477" spans="1:3">
      <c r="A1477" t="s">
        <v>236</v>
      </c>
      <c r="B1477">
        <v>12</v>
      </c>
      <c r="C1477">
        <v>37</v>
      </c>
    </row>
    <row r="1478" spans="1:3">
      <c r="A1478" t="s">
        <v>236</v>
      </c>
      <c r="B1478">
        <v>13</v>
      </c>
      <c r="C1478">
        <v>41</v>
      </c>
    </row>
    <row r="1479" spans="1:3">
      <c r="A1479" t="s">
        <v>236</v>
      </c>
      <c r="B1479">
        <v>14</v>
      </c>
      <c r="C1479">
        <v>43</v>
      </c>
    </row>
    <row r="1480" spans="1:3">
      <c r="A1480" t="s">
        <v>236</v>
      </c>
      <c r="B1480">
        <v>15</v>
      </c>
      <c r="C1480">
        <v>57</v>
      </c>
    </row>
    <row r="1481" spans="1:3">
      <c r="A1481" t="s">
        <v>236</v>
      </c>
      <c r="B1481">
        <v>16</v>
      </c>
      <c r="C1481">
        <v>35</v>
      </c>
    </row>
    <row r="1482" spans="1:3">
      <c r="A1482" t="s">
        <v>236</v>
      </c>
      <c r="B1482">
        <v>17</v>
      </c>
      <c r="C1482">
        <v>34</v>
      </c>
    </row>
    <row r="1483" spans="1:3">
      <c r="A1483" t="s">
        <v>236</v>
      </c>
      <c r="B1483">
        <v>18</v>
      </c>
      <c r="C1483">
        <v>31</v>
      </c>
    </row>
    <row r="1484" spans="1:3">
      <c r="A1484" t="s">
        <v>236</v>
      </c>
      <c r="B1484">
        <v>19</v>
      </c>
      <c r="C1484">
        <v>25</v>
      </c>
    </row>
    <row r="1485" spans="1:3">
      <c r="A1485" t="s">
        <v>236</v>
      </c>
      <c r="B1485">
        <v>20</v>
      </c>
      <c r="C1485">
        <v>25</v>
      </c>
    </row>
    <row r="1486" spans="1:3">
      <c r="A1486" t="s">
        <v>236</v>
      </c>
      <c r="B1486">
        <v>21</v>
      </c>
      <c r="C1486">
        <v>17</v>
      </c>
    </row>
    <row r="1487" spans="1:3">
      <c r="A1487" t="s">
        <v>236</v>
      </c>
      <c r="B1487">
        <v>22</v>
      </c>
      <c r="C1487">
        <v>14</v>
      </c>
    </row>
    <row r="1488" spans="1:3">
      <c r="A1488" t="s">
        <v>236</v>
      </c>
      <c r="B1488">
        <v>23</v>
      </c>
      <c r="C1488">
        <v>7</v>
      </c>
    </row>
    <row r="1489" spans="1:3">
      <c r="A1489" t="s">
        <v>236</v>
      </c>
      <c r="B1489">
        <v>24</v>
      </c>
      <c r="C1489">
        <v>4</v>
      </c>
    </row>
    <row r="1490" spans="1:3">
      <c r="A1490" t="s">
        <v>195</v>
      </c>
      <c r="B1490">
        <v>1</v>
      </c>
      <c r="C1490">
        <v>0</v>
      </c>
    </row>
    <row r="1491" spans="1:3">
      <c r="A1491" t="s">
        <v>195</v>
      </c>
      <c r="B1491">
        <v>2</v>
      </c>
      <c r="C1491">
        <v>0</v>
      </c>
    </row>
    <row r="1492" spans="1:3">
      <c r="A1492" t="s">
        <v>195</v>
      </c>
      <c r="B1492">
        <v>3</v>
      </c>
      <c r="C1492">
        <v>0</v>
      </c>
    </row>
    <row r="1493" spans="1:3">
      <c r="A1493" t="s">
        <v>195</v>
      </c>
      <c r="B1493">
        <v>4</v>
      </c>
      <c r="C1493">
        <v>16</v>
      </c>
    </row>
    <row r="1494" spans="1:3">
      <c r="A1494" t="s">
        <v>195</v>
      </c>
      <c r="B1494">
        <v>5</v>
      </c>
      <c r="C1494">
        <v>39</v>
      </c>
    </row>
    <row r="1495" spans="1:3">
      <c r="A1495" t="s">
        <v>195</v>
      </c>
      <c r="B1495">
        <v>6</v>
      </c>
      <c r="C1495">
        <v>55</v>
      </c>
    </row>
    <row r="1496" spans="1:3">
      <c r="A1496" t="s">
        <v>195</v>
      </c>
      <c r="B1496">
        <v>7</v>
      </c>
      <c r="C1496">
        <v>65</v>
      </c>
    </row>
    <row r="1497" spans="1:3">
      <c r="A1497" t="s">
        <v>195</v>
      </c>
      <c r="B1497">
        <v>8</v>
      </c>
      <c r="C1497">
        <v>73</v>
      </c>
    </row>
    <row r="1498" spans="1:3">
      <c r="A1498" t="s">
        <v>195</v>
      </c>
      <c r="B1498">
        <v>9</v>
      </c>
      <c r="C1498">
        <v>87</v>
      </c>
    </row>
    <row r="1499" spans="1:3">
      <c r="A1499" t="s">
        <v>195</v>
      </c>
      <c r="B1499">
        <v>10</v>
      </c>
      <c r="C1499">
        <v>80</v>
      </c>
    </row>
    <row r="1500" spans="1:3">
      <c r="A1500" t="s">
        <v>195</v>
      </c>
      <c r="B1500">
        <v>11</v>
      </c>
      <c r="C1500">
        <v>70</v>
      </c>
    </row>
    <row r="1501" spans="1:3">
      <c r="A1501" t="s">
        <v>195</v>
      </c>
      <c r="B1501">
        <v>12</v>
      </c>
      <c r="C1501">
        <v>71</v>
      </c>
    </row>
    <row r="1502" spans="1:3">
      <c r="A1502" t="s">
        <v>195</v>
      </c>
      <c r="B1502">
        <v>13</v>
      </c>
      <c r="C1502">
        <v>82</v>
      </c>
    </row>
    <row r="1503" spans="1:3">
      <c r="A1503" t="s">
        <v>195</v>
      </c>
      <c r="B1503">
        <v>14</v>
      </c>
      <c r="C1503">
        <v>68</v>
      </c>
    </row>
    <row r="1504" spans="1:3">
      <c r="A1504" t="s">
        <v>195</v>
      </c>
      <c r="B1504">
        <v>15</v>
      </c>
      <c r="C1504">
        <v>62</v>
      </c>
    </row>
    <row r="1505" spans="1:3">
      <c r="A1505" t="s">
        <v>195</v>
      </c>
      <c r="B1505">
        <v>16</v>
      </c>
      <c r="C1505">
        <v>65</v>
      </c>
    </row>
    <row r="1506" spans="1:3">
      <c r="A1506" t="s">
        <v>195</v>
      </c>
      <c r="B1506">
        <v>17</v>
      </c>
      <c r="C1506">
        <v>57</v>
      </c>
    </row>
    <row r="1507" spans="1:3">
      <c r="A1507" t="s">
        <v>195</v>
      </c>
      <c r="B1507">
        <v>18</v>
      </c>
      <c r="C1507">
        <v>68</v>
      </c>
    </row>
    <row r="1508" spans="1:3">
      <c r="A1508" t="s">
        <v>195</v>
      </c>
      <c r="B1508">
        <v>19</v>
      </c>
      <c r="C1508">
        <v>50</v>
      </c>
    </row>
    <row r="1509" spans="1:3">
      <c r="A1509" t="s">
        <v>195</v>
      </c>
      <c r="B1509">
        <v>20</v>
      </c>
      <c r="C1509">
        <v>40</v>
      </c>
    </row>
    <row r="1510" spans="1:3">
      <c r="A1510" t="s">
        <v>195</v>
      </c>
      <c r="B1510">
        <v>21</v>
      </c>
      <c r="C1510">
        <v>33</v>
      </c>
    </row>
    <row r="1511" spans="1:3">
      <c r="A1511" t="s">
        <v>195</v>
      </c>
      <c r="B1511">
        <v>22</v>
      </c>
      <c r="C1511">
        <v>27</v>
      </c>
    </row>
    <row r="1512" spans="1:3">
      <c r="A1512" t="s">
        <v>195</v>
      </c>
      <c r="B1512">
        <v>23</v>
      </c>
      <c r="C1512">
        <v>16</v>
      </c>
    </row>
    <row r="1513" spans="1:3">
      <c r="A1513" t="s">
        <v>195</v>
      </c>
      <c r="B1513">
        <v>24</v>
      </c>
      <c r="C1513">
        <v>6</v>
      </c>
    </row>
    <row r="1514" spans="1:3">
      <c r="A1514" t="s">
        <v>263</v>
      </c>
      <c r="B1514">
        <v>1</v>
      </c>
      <c r="C1514">
        <v>0</v>
      </c>
    </row>
    <row r="1515" spans="1:3">
      <c r="A1515" t="s">
        <v>263</v>
      </c>
      <c r="B1515">
        <v>2</v>
      </c>
      <c r="C1515">
        <v>0</v>
      </c>
    </row>
    <row r="1516" spans="1:3">
      <c r="A1516" t="s">
        <v>263</v>
      </c>
      <c r="B1516">
        <v>3</v>
      </c>
      <c r="C1516">
        <v>0</v>
      </c>
    </row>
    <row r="1517" spans="1:3">
      <c r="A1517" t="s">
        <v>263</v>
      </c>
      <c r="B1517">
        <v>4</v>
      </c>
      <c r="C1517">
        <v>8</v>
      </c>
    </row>
    <row r="1518" spans="1:3">
      <c r="A1518" t="s">
        <v>263</v>
      </c>
      <c r="B1518">
        <v>5</v>
      </c>
      <c r="C1518">
        <v>18</v>
      </c>
    </row>
    <row r="1519" spans="1:3">
      <c r="A1519" t="s">
        <v>263</v>
      </c>
      <c r="B1519">
        <v>6</v>
      </c>
      <c r="C1519">
        <v>19</v>
      </c>
    </row>
    <row r="1520" spans="1:3">
      <c r="A1520" t="s">
        <v>263</v>
      </c>
      <c r="B1520">
        <v>7</v>
      </c>
      <c r="C1520">
        <v>33</v>
      </c>
    </row>
    <row r="1521" spans="1:3">
      <c r="A1521" t="s">
        <v>263</v>
      </c>
      <c r="B1521">
        <v>8</v>
      </c>
      <c r="C1521">
        <v>16</v>
      </c>
    </row>
    <row r="1522" spans="1:3">
      <c r="A1522" t="s">
        <v>263</v>
      </c>
      <c r="B1522">
        <v>9</v>
      </c>
      <c r="C1522">
        <v>16</v>
      </c>
    </row>
    <row r="1523" spans="1:3">
      <c r="A1523" t="s">
        <v>263</v>
      </c>
      <c r="B1523">
        <v>10</v>
      </c>
      <c r="C1523">
        <v>19</v>
      </c>
    </row>
    <row r="1524" spans="1:3">
      <c r="A1524" t="s">
        <v>263</v>
      </c>
      <c r="B1524">
        <v>11</v>
      </c>
      <c r="C1524">
        <v>22</v>
      </c>
    </row>
    <row r="1525" spans="1:3">
      <c r="A1525" t="s">
        <v>263</v>
      </c>
      <c r="B1525">
        <v>12</v>
      </c>
      <c r="C1525">
        <v>20</v>
      </c>
    </row>
    <row r="1526" spans="1:3">
      <c r="A1526" t="s">
        <v>263</v>
      </c>
      <c r="B1526">
        <v>13</v>
      </c>
      <c r="C1526">
        <v>25</v>
      </c>
    </row>
    <row r="1527" spans="1:3">
      <c r="A1527" t="s">
        <v>263</v>
      </c>
      <c r="B1527">
        <v>14</v>
      </c>
      <c r="C1527">
        <v>24</v>
      </c>
    </row>
    <row r="1528" spans="1:3">
      <c r="A1528" t="s">
        <v>263</v>
      </c>
      <c r="B1528">
        <v>15</v>
      </c>
      <c r="C1528">
        <v>29</v>
      </c>
    </row>
    <row r="1529" spans="1:3">
      <c r="A1529" t="s">
        <v>263</v>
      </c>
      <c r="B1529">
        <v>16</v>
      </c>
      <c r="C1529">
        <v>30</v>
      </c>
    </row>
    <row r="1530" spans="1:3">
      <c r="A1530" t="s">
        <v>263</v>
      </c>
      <c r="B1530">
        <v>17</v>
      </c>
      <c r="C1530">
        <v>29</v>
      </c>
    </row>
    <row r="1531" spans="1:3">
      <c r="A1531" t="s">
        <v>263</v>
      </c>
      <c r="B1531">
        <v>18</v>
      </c>
      <c r="C1531">
        <v>30</v>
      </c>
    </row>
    <row r="1532" spans="1:3">
      <c r="A1532" t="s">
        <v>263</v>
      </c>
      <c r="B1532">
        <v>19</v>
      </c>
      <c r="C1532">
        <v>18</v>
      </c>
    </row>
    <row r="1533" spans="1:3">
      <c r="A1533" t="s">
        <v>263</v>
      </c>
      <c r="B1533">
        <v>20</v>
      </c>
      <c r="C1533">
        <v>18</v>
      </c>
    </row>
    <row r="1534" spans="1:3">
      <c r="A1534" t="s">
        <v>263</v>
      </c>
      <c r="B1534">
        <v>21</v>
      </c>
      <c r="C1534">
        <v>14</v>
      </c>
    </row>
    <row r="1535" spans="1:3">
      <c r="A1535" t="s">
        <v>263</v>
      </c>
      <c r="B1535">
        <v>22</v>
      </c>
      <c r="C1535">
        <v>9</v>
      </c>
    </row>
    <row r="1536" spans="1:3">
      <c r="A1536" t="s">
        <v>263</v>
      </c>
      <c r="B1536">
        <v>23</v>
      </c>
      <c r="C1536">
        <v>6</v>
      </c>
    </row>
    <row r="1537" spans="1:3">
      <c r="A1537" t="s">
        <v>263</v>
      </c>
      <c r="B1537">
        <v>24</v>
      </c>
      <c r="C1537">
        <v>3</v>
      </c>
    </row>
    <row r="1538" spans="1:3">
      <c r="A1538" t="s">
        <v>264</v>
      </c>
      <c r="B1538">
        <v>1</v>
      </c>
      <c r="C1538">
        <v>0</v>
      </c>
    </row>
    <row r="1539" spans="1:3">
      <c r="A1539" t="s">
        <v>264</v>
      </c>
      <c r="B1539">
        <v>2</v>
      </c>
      <c r="C1539">
        <v>0</v>
      </c>
    </row>
    <row r="1540" spans="1:3">
      <c r="A1540" t="s">
        <v>264</v>
      </c>
      <c r="B1540">
        <v>3</v>
      </c>
      <c r="C1540">
        <v>0</v>
      </c>
    </row>
    <row r="1541" spans="1:3">
      <c r="A1541" t="s">
        <v>264</v>
      </c>
      <c r="B1541">
        <v>4</v>
      </c>
      <c r="C1541">
        <v>9</v>
      </c>
    </row>
    <row r="1542" spans="1:3">
      <c r="A1542" t="s">
        <v>264</v>
      </c>
      <c r="B1542">
        <v>5</v>
      </c>
      <c r="C1542">
        <v>9</v>
      </c>
    </row>
    <row r="1543" spans="1:3">
      <c r="A1543" t="s">
        <v>264</v>
      </c>
      <c r="B1543">
        <v>6</v>
      </c>
      <c r="C1543">
        <v>33</v>
      </c>
    </row>
    <row r="1544" spans="1:3">
      <c r="A1544" t="s">
        <v>264</v>
      </c>
      <c r="B1544">
        <v>7</v>
      </c>
      <c r="C1544">
        <v>17</v>
      </c>
    </row>
    <row r="1545" spans="1:3">
      <c r="A1545" t="s">
        <v>264</v>
      </c>
      <c r="B1545">
        <v>8</v>
      </c>
      <c r="C1545">
        <v>16</v>
      </c>
    </row>
    <row r="1546" spans="1:3">
      <c r="A1546" t="s">
        <v>264</v>
      </c>
      <c r="B1546">
        <v>9</v>
      </c>
      <c r="C1546">
        <v>18</v>
      </c>
    </row>
    <row r="1547" spans="1:3">
      <c r="A1547" t="s">
        <v>264</v>
      </c>
      <c r="B1547">
        <v>10</v>
      </c>
      <c r="C1547">
        <v>15</v>
      </c>
    </row>
    <row r="1548" spans="1:3">
      <c r="A1548" t="s">
        <v>264</v>
      </c>
      <c r="B1548">
        <v>11</v>
      </c>
      <c r="C1548">
        <v>19</v>
      </c>
    </row>
    <row r="1549" spans="1:3">
      <c r="A1549" t="s">
        <v>264</v>
      </c>
      <c r="B1549">
        <v>12</v>
      </c>
      <c r="C1549">
        <v>15</v>
      </c>
    </row>
    <row r="1550" spans="1:3">
      <c r="A1550" t="s">
        <v>264</v>
      </c>
      <c r="B1550">
        <v>13</v>
      </c>
      <c r="C1550">
        <v>21</v>
      </c>
    </row>
    <row r="1551" spans="1:3">
      <c r="A1551" t="s">
        <v>264</v>
      </c>
      <c r="B1551">
        <v>14</v>
      </c>
      <c r="C1551">
        <v>25</v>
      </c>
    </row>
    <row r="1552" spans="1:3">
      <c r="A1552" t="s">
        <v>264</v>
      </c>
      <c r="B1552">
        <v>15</v>
      </c>
      <c r="C1552">
        <v>19</v>
      </c>
    </row>
    <row r="1553" spans="1:3">
      <c r="A1553" t="s">
        <v>264</v>
      </c>
      <c r="B1553">
        <v>16</v>
      </c>
      <c r="C1553">
        <v>21</v>
      </c>
    </row>
    <row r="1554" spans="1:3">
      <c r="A1554" t="s">
        <v>264</v>
      </c>
      <c r="B1554">
        <v>17</v>
      </c>
      <c r="C1554">
        <v>16</v>
      </c>
    </row>
    <row r="1555" spans="1:3">
      <c r="A1555" t="s">
        <v>264</v>
      </c>
      <c r="B1555">
        <v>18</v>
      </c>
      <c r="C1555">
        <v>13</v>
      </c>
    </row>
    <row r="1556" spans="1:3">
      <c r="A1556" t="s">
        <v>264</v>
      </c>
      <c r="B1556">
        <v>19</v>
      </c>
      <c r="C1556">
        <v>11</v>
      </c>
    </row>
    <row r="1557" spans="1:3">
      <c r="A1557" t="s">
        <v>264</v>
      </c>
      <c r="B1557">
        <v>20</v>
      </c>
      <c r="C1557">
        <v>10</v>
      </c>
    </row>
    <row r="1558" spans="1:3">
      <c r="A1558" t="s">
        <v>264</v>
      </c>
      <c r="B1558">
        <v>21</v>
      </c>
      <c r="C1558">
        <v>8</v>
      </c>
    </row>
    <row r="1559" spans="1:3">
      <c r="A1559" t="s">
        <v>264</v>
      </c>
      <c r="B1559">
        <v>22</v>
      </c>
      <c r="C1559">
        <v>7</v>
      </c>
    </row>
    <row r="1560" spans="1:3">
      <c r="A1560" t="s">
        <v>264</v>
      </c>
      <c r="B1560">
        <v>23</v>
      </c>
      <c r="C1560">
        <v>4</v>
      </c>
    </row>
    <row r="1561" spans="1:3">
      <c r="A1561" t="s">
        <v>264</v>
      </c>
      <c r="B1561">
        <v>24</v>
      </c>
      <c r="C1561">
        <v>1</v>
      </c>
    </row>
    <row r="1562" spans="1:3">
      <c r="A1562" t="s">
        <v>184</v>
      </c>
      <c r="B1562">
        <v>1</v>
      </c>
      <c r="C1562">
        <v>0</v>
      </c>
    </row>
    <row r="1563" spans="1:3">
      <c r="A1563" t="s">
        <v>184</v>
      </c>
      <c r="B1563">
        <v>2</v>
      </c>
      <c r="C1563">
        <v>0</v>
      </c>
    </row>
    <row r="1564" spans="1:3">
      <c r="A1564" t="s">
        <v>184</v>
      </c>
      <c r="B1564">
        <v>3</v>
      </c>
      <c r="C1564">
        <v>0</v>
      </c>
    </row>
    <row r="1565" spans="1:3">
      <c r="A1565" t="s">
        <v>184</v>
      </c>
      <c r="B1565">
        <v>4</v>
      </c>
      <c r="C1565">
        <v>6</v>
      </c>
    </row>
    <row r="1566" spans="1:3">
      <c r="A1566" t="s">
        <v>184</v>
      </c>
      <c r="B1566">
        <v>5</v>
      </c>
      <c r="C1566">
        <v>18</v>
      </c>
    </row>
    <row r="1567" spans="1:3">
      <c r="A1567" t="s">
        <v>184</v>
      </c>
      <c r="B1567">
        <v>6</v>
      </c>
      <c r="C1567">
        <v>54</v>
      </c>
    </row>
    <row r="1568" spans="1:3">
      <c r="A1568" t="s">
        <v>184</v>
      </c>
      <c r="B1568">
        <v>7</v>
      </c>
      <c r="C1568">
        <v>61</v>
      </c>
    </row>
    <row r="1569" spans="1:3">
      <c r="A1569" t="s">
        <v>184</v>
      </c>
      <c r="B1569">
        <v>8</v>
      </c>
      <c r="C1569">
        <v>57</v>
      </c>
    </row>
    <row r="1570" spans="1:3">
      <c r="A1570" t="s">
        <v>184</v>
      </c>
      <c r="B1570">
        <v>9</v>
      </c>
      <c r="C1570">
        <v>93</v>
      </c>
    </row>
    <row r="1571" spans="1:3">
      <c r="A1571" t="s">
        <v>184</v>
      </c>
      <c r="B1571">
        <v>10</v>
      </c>
      <c r="C1571">
        <v>88</v>
      </c>
    </row>
    <row r="1572" spans="1:3">
      <c r="A1572" t="s">
        <v>184</v>
      </c>
      <c r="B1572">
        <v>11</v>
      </c>
      <c r="C1572">
        <v>87</v>
      </c>
    </row>
    <row r="1573" spans="1:3">
      <c r="A1573" t="s">
        <v>184</v>
      </c>
      <c r="B1573">
        <v>12</v>
      </c>
      <c r="C1573">
        <v>91</v>
      </c>
    </row>
    <row r="1574" spans="1:3">
      <c r="A1574" t="s">
        <v>184</v>
      </c>
      <c r="B1574">
        <v>13</v>
      </c>
      <c r="C1574">
        <v>82</v>
      </c>
    </row>
    <row r="1575" spans="1:3">
      <c r="A1575" t="s">
        <v>184</v>
      </c>
      <c r="B1575">
        <v>14</v>
      </c>
      <c r="C1575">
        <v>73</v>
      </c>
    </row>
    <row r="1576" spans="1:3">
      <c r="A1576" t="s">
        <v>184</v>
      </c>
      <c r="B1576">
        <v>15</v>
      </c>
      <c r="C1576">
        <v>80</v>
      </c>
    </row>
    <row r="1577" spans="1:3">
      <c r="A1577" t="s">
        <v>184</v>
      </c>
      <c r="B1577">
        <v>16</v>
      </c>
      <c r="C1577">
        <v>79</v>
      </c>
    </row>
    <row r="1578" spans="1:3">
      <c r="A1578" t="s">
        <v>184</v>
      </c>
      <c r="B1578">
        <v>17</v>
      </c>
      <c r="C1578">
        <v>68</v>
      </c>
    </row>
    <row r="1579" spans="1:3">
      <c r="A1579" t="s">
        <v>184</v>
      </c>
      <c r="B1579">
        <v>18</v>
      </c>
      <c r="C1579">
        <v>54</v>
      </c>
    </row>
    <row r="1580" spans="1:3">
      <c r="A1580" t="s">
        <v>184</v>
      </c>
      <c r="B1580">
        <v>19</v>
      </c>
      <c r="C1580">
        <v>48</v>
      </c>
    </row>
    <row r="1581" spans="1:3">
      <c r="A1581" t="s">
        <v>184</v>
      </c>
      <c r="B1581">
        <v>20</v>
      </c>
      <c r="C1581">
        <v>42</v>
      </c>
    </row>
    <row r="1582" spans="1:3">
      <c r="A1582" t="s">
        <v>184</v>
      </c>
      <c r="B1582">
        <v>21</v>
      </c>
      <c r="C1582">
        <v>30</v>
      </c>
    </row>
    <row r="1583" spans="1:3">
      <c r="A1583" t="s">
        <v>184</v>
      </c>
      <c r="B1583">
        <v>22</v>
      </c>
      <c r="C1583">
        <v>24</v>
      </c>
    </row>
    <row r="1584" spans="1:3">
      <c r="A1584" t="s">
        <v>184</v>
      </c>
      <c r="B1584">
        <v>23</v>
      </c>
      <c r="C1584">
        <v>6</v>
      </c>
    </row>
    <row r="1585" spans="1:3">
      <c r="A1585" t="s">
        <v>184</v>
      </c>
      <c r="B1585">
        <v>24</v>
      </c>
      <c r="C1585">
        <v>0</v>
      </c>
    </row>
    <row r="1586" spans="1:3">
      <c r="A1586" t="s">
        <v>250</v>
      </c>
      <c r="B1586">
        <v>1</v>
      </c>
      <c r="C1586">
        <v>0</v>
      </c>
    </row>
    <row r="1587" spans="1:3">
      <c r="A1587" t="s">
        <v>250</v>
      </c>
      <c r="B1587">
        <v>2</v>
      </c>
      <c r="C1587">
        <v>0</v>
      </c>
    </row>
    <row r="1588" spans="1:3">
      <c r="A1588" t="s">
        <v>250</v>
      </c>
      <c r="B1588">
        <v>3</v>
      </c>
      <c r="C1588">
        <v>0</v>
      </c>
    </row>
    <row r="1589" spans="1:3">
      <c r="A1589" t="s">
        <v>250</v>
      </c>
      <c r="B1589">
        <v>4</v>
      </c>
      <c r="C1589">
        <v>12</v>
      </c>
    </row>
    <row r="1590" spans="1:3">
      <c r="A1590" t="s">
        <v>250</v>
      </c>
      <c r="B1590">
        <v>5</v>
      </c>
      <c r="C1590">
        <v>14</v>
      </c>
    </row>
    <row r="1591" spans="1:3">
      <c r="A1591" t="s">
        <v>250</v>
      </c>
      <c r="B1591">
        <v>6</v>
      </c>
      <c r="C1591">
        <v>11</v>
      </c>
    </row>
    <row r="1592" spans="1:3">
      <c r="A1592" t="s">
        <v>250</v>
      </c>
      <c r="B1592">
        <v>7</v>
      </c>
      <c r="C1592">
        <v>44</v>
      </c>
    </row>
    <row r="1593" spans="1:3">
      <c r="A1593" t="s">
        <v>250</v>
      </c>
      <c r="B1593">
        <v>8</v>
      </c>
      <c r="C1593">
        <v>20</v>
      </c>
    </row>
    <row r="1594" spans="1:3">
      <c r="A1594" t="s">
        <v>250</v>
      </c>
      <c r="B1594">
        <v>9</v>
      </c>
      <c r="C1594">
        <v>18</v>
      </c>
    </row>
    <row r="1595" spans="1:3">
      <c r="A1595" t="s">
        <v>250</v>
      </c>
      <c r="B1595">
        <v>10</v>
      </c>
      <c r="C1595">
        <v>19</v>
      </c>
    </row>
    <row r="1596" spans="1:3">
      <c r="A1596" t="s">
        <v>250</v>
      </c>
      <c r="B1596">
        <v>11</v>
      </c>
      <c r="C1596">
        <v>24</v>
      </c>
    </row>
    <row r="1597" spans="1:3">
      <c r="A1597" t="s">
        <v>250</v>
      </c>
      <c r="B1597">
        <v>12</v>
      </c>
      <c r="C1597">
        <v>29</v>
      </c>
    </row>
    <row r="1598" spans="1:3">
      <c r="A1598" t="s">
        <v>250</v>
      </c>
      <c r="B1598">
        <v>13</v>
      </c>
      <c r="C1598">
        <v>22</v>
      </c>
    </row>
    <row r="1599" spans="1:3">
      <c r="A1599" t="s">
        <v>250</v>
      </c>
      <c r="B1599">
        <v>14</v>
      </c>
      <c r="C1599">
        <v>33</v>
      </c>
    </row>
    <row r="1600" spans="1:3">
      <c r="A1600" t="s">
        <v>250</v>
      </c>
      <c r="B1600">
        <v>15</v>
      </c>
      <c r="C1600">
        <v>29</v>
      </c>
    </row>
    <row r="1601" spans="1:3">
      <c r="A1601" t="s">
        <v>250</v>
      </c>
      <c r="B1601">
        <v>16</v>
      </c>
      <c r="C1601">
        <v>20</v>
      </c>
    </row>
    <row r="1602" spans="1:3">
      <c r="A1602" t="s">
        <v>250</v>
      </c>
      <c r="B1602">
        <v>17</v>
      </c>
      <c r="C1602">
        <v>21</v>
      </c>
    </row>
    <row r="1603" spans="1:3">
      <c r="A1603" t="s">
        <v>250</v>
      </c>
      <c r="B1603">
        <v>18</v>
      </c>
      <c r="C1603">
        <v>22</v>
      </c>
    </row>
    <row r="1604" spans="1:3">
      <c r="A1604" t="s">
        <v>250</v>
      </c>
      <c r="B1604">
        <v>19</v>
      </c>
      <c r="C1604">
        <v>12</v>
      </c>
    </row>
    <row r="1605" spans="1:3">
      <c r="A1605" t="s">
        <v>250</v>
      </c>
      <c r="B1605">
        <v>20</v>
      </c>
      <c r="C1605">
        <v>10</v>
      </c>
    </row>
    <row r="1606" spans="1:3">
      <c r="A1606" t="s">
        <v>250</v>
      </c>
      <c r="B1606">
        <v>21</v>
      </c>
      <c r="C1606">
        <v>0</v>
      </c>
    </row>
    <row r="1607" spans="1:3">
      <c r="A1607" t="s">
        <v>250</v>
      </c>
      <c r="B1607">
        <v>22</v>
      </c>
      <c r="C1607">
        <v>0</v>
      </c>
    </row>
    <row r="1608" spans="1:3">
      <c r="A1608" t="s">
        <v>250</v>
      </c>
      <c r="B1608">
        <v>23</v>
      </c>
      <c r="C1608">
        <v>0</v>
      </c>
    </row>
    <row r="1609" spans="1:3">
      <c r="A1609" t="s">
        <v>250</v>
      </c>
      <c r="B1609">
        <v>24</v>
      </c>
      <c r="C1609">
        <v>0</v>
      </c>
    </row>
    <row r="1610" spans="1:3">
      <c r="A1610" t="s">
        <v>179</v>
      </c>
      <c r="B1610">
        <v>1</v>
      </c>
      <c r="C1610">
        <v>0</v>
      </c>
    </row>
    <row r="1611" spans="1:3">
      <c r="A1611" t="s">
        <v>179</v>
      </c>
      <c r="B1611">
        <v>2</v>
      </c>
      <c r="C1611">
        <v>0</v>
      </c>
    </row>
    <row r="1612" spans="1:3">
      <c r="A1612" t="s">
        <v>179</v>
      </c>
      <c r="B1612">
        <v>3</v>
      </c>
      <c r="C1612">
        <v>0</v>
      </c>
    </row>
    <row r="1613" spans="1:3">
      <c r="A1613" t="s">
        <v>179</v>
      </c>
      <c r="B1613">
        <v>4</v>
      </c>
      <c r="C1613">
        <v>10</v>
      </c>
    </row>
    <row r="1614" spans="1:3">
      <c r="A1614" t="s">
        <v>179</v>
      </c>
      <c r="B1614">
        <v>5</v>
      </c>
      <c r="C1614">
        <v>27</v>
      </c>
    </row>
    <row r="1615" spans="1:3">
      <c r="A1615" t="s">
        <v>179</v>
      </c>
      <c r="B1615">
        <v>6</v>
      </c>
      <c r="C1615">
        <v>37</v>
      </c>
    </row>
    <row r="1616" spans="1:3">
      <c r="A1616" t="s">
        <v>179</v>
      </c>
      <c r="B1616">
        <v>7</v>
      </c>
      <c r="C1616">
        <v>59</v>
      </c>
    </row>
    <row r="1617" spans="1:3">
      <c r="A1617" t="s">
        <v>179</v>
      </c>
      <c r="B1617">
        <v>8</v>
      </c>
      <c r="C1617">
        <v>58</v>
      </c>
    </row>
    <row r="1618" spans="1:3">
      <c r="A1618" t="s">
        <v>179</v>
      </c>
      <c r="B1618">
        <v>9</v>
      </c>
      <c r="C1618">
        <v>72</v>
      </c>
    </row>
    <row r="1619" spans="1:3">
      <c r="A1619" t="s">
        <v>179</v>
      </c>
      <c r="B1619">
        <v>10</v>
      </c>
      <c r="C1619">
        <v>55</v>
      </c>
    </row>
    <row r="1620" spans="1:3">
      <c r="A1620" t="s">
        <v>179</v>
      </c>
      <c r="B1620">
        <v>11</v>
      </c>
      <c r="C1620">
        <v>61</v>
      </c>
    </row>
    <row r="1621" spans="1:3">
      <c r="A1621" t="s">
        <v>179</v>
      </c>
      <c r="B1621">
        <v>12</v>
      </c>
      <c r="C1621">
        <v>104</v>
      </c>
    </row>
    <row r="1622" spans="1:3">
      <c r="A1622" t="s">
        <v>179</v>
      </c>
      <c r="B1622">
        <v>13</v>
      </c>
      <c r="C1622">
        <v>85</v>
      </c>
    </row>
    <row r="1623" spans="1:3">
      <c r="A1623" t="s">
        <v>179</v>
      </c>
      <c r="B1623">
        <v>14</v>
      </c>
      <c r="C1623">
        <v>96</v>
      </c>
    </row>
    <row r="1624" spans="1:3">
      <c r="A1624" t="s">
        <v>179</v>
      </c>
      <c r="B1624">
        <v>15</v>
      </c>
      <c r="C1624">
        <v>91</v>
      </c>
    </row>
    <row r="1625" spans="1:3">
      <c r="A1625" t="s">
        <v>179</v>
      </c>
      <c r="B1625">
        <v>16</v>
      </c>
      <c r="C1625">
        <v>65</v>
      </c>
    </row>
    <row r="1626" spans="1:3">
      <c r="A1626" t="s">
        <v>179</v>
      </c>
      <c r="B1626">
        <v>17</v>
      </c>
      <c r="C1626">
        <v>82</v>
      </c>
    </row>
    <row r="1627" spans="1:3">
      <c r="A1627" t="s">
        <v>179</v>
      </c>
      <c r="B1627">
        <v>18</v>
      </c>
      <c r="C1627">
        <v>54</v>
      </c>
    </row>
    <row r="1628" spans="1:3">
      <c r="A1628" t="s">
        <v>179</v>
      </c>
      <c r="B1628">
        <v>19</v>
      </c>
      <c r="C1628">
        <v>60</v>
      </c>
    </row>
    <row r="1629" spans="1:3">
      <c r="A1629" t="s">
        <v>179</v>
      </c>
      <c r="B1629">
        <v>20</v>
      </c>
      <c r="C1629">
        <v>74</v>
      </c>
    </row>
    <row r="1630" spans="1:3">
      <c r="A1630" t="s">
        <v>179</v>
      </c>
      <c r="B1630">
        <v>21</v>
      </c>
      <c r="C1630">
        <v>74</v>
      </c>
    </row>
    <row r="1631" spans="1:3">
      <c r="A1631" t="s">
        <v>179</v>
      </c>
      <c r="B1631">
        <v>22</v>
      </c>
      <c r="C1631">
        <v>24</v>
      </c>
    </row>
    <row r="1632" spans="1:3">
      <c r="A1632" t="s">
        <v>179</v>
      </c>
      <c r="B1632">
        <v>23</v>
      </c>
      <c r="C1632">
        <v>15</v>
      </c>
    </row>
    <row r="1633" spans="1:3">
      <c r="A1633" t="s">
        <v>179</v>
      </c>
      <c r="B1633">
        <v>24</v>
      </c>
      <c r="C1633">
        <v>9</v>
      </c>
    </row>
    <row r="1634" spans="1:3">
      <c r="A1634" t="s">
        <v>234</v>
      </c>
      <c r="B1634">
        <v>1</v>
      </c>
      <c r="C1634">
        <v>0</v>
      </c>
    </row>
    <row r="1635" spans="1:3">
      <c r="A1635" t="s">
        <v>234</v>
      </c>
      <c r="B1635">
        <v>2</v>
      </c>
      <c r="C1635">
        <v>0</v>
      </c>
    </row>
    <row r="1636" spans="1:3">
      <c r="A1636" t="s">
        <v>234</v>
      </c>
      <c r="B1636">
        <v>3</v>
      </c>
      <c r="C1636">
        <v>1</v>
      </c>
    </row>
    <row r="1637" spans="1:3">
      <c r="A1637" t="s">
        <v>234</v>
      </c>
      <c r="B1637">
        <v>4</v>
      </c>
      <c r="C1637">
        <v>16</v>
      </c>
    </row>
    <row r="1638" spans="1:3">
      <c r="A1638" t="s">
        <v>234</v>
      </c>
      <c r="B1638">
        <v>5</v>
      </c>
      <c r="C1638">
        <v>30</v>
      </c>
    </row>
    <row r="1639" spans="1:3">
      <c r="A1639" t="s">
        <v>234</v>
      </c>
      <c r="B1639">
        <v>6</v>
      </c>
      <c r="C1639">
        <v>31</v>
      </c>
    </row>
    <row r="1640" spans="1:3">
      <c r="A1640" t="s">
        <v>234</v>
      </c>
      <c r="B1640">
        <v>7</v>
      </c>
      <c r="C1640">
        <v>38</v>
      </c>
    </row>
    <row r="1641" spans="1:3">
      <c r="A1641" t="s">
        <v>234</v>
      </c>
      <c r="B1641">
        <v>8</v>
      </c>
      <c r="C1641">
        <v>41</v>
      </c>
    </row>
    <row r="1642" spans="1:3">
      <c r="A1642" t="s">
        <v>234</v>
      </c>
      <c r="B1642">
        <v>9</v>
      </c>
      <c r="C1642">
        <v>32</v>
      </c>
    </row>
    <row r="1643" spans="1:3">
      <c r="A1643" t="s">
        <v>234</v>
      </c>
      <c r="B1643">
        <v>10</v>
      </c>
      <c r="C1643">
        <v>39</v>
      </c>
    </row>
    <row r="1644" spans="1:3">
      <c r="A1644" t="s">
        <v>234</v>
      </c>
      <c r="B1644">
        <v>11</v>
      </c>
      <c r="C1644">
        <v>30</v>
      </c>
    </row>
    <row r="1645" spans="1:3">
      <c r="A1645" t="s">
        <v>234</v>
      </c>
      <c r="B1645">
        <v>12</v>
      </c>
      <c r="C1645">
        <v>50</v>
      </c>
    </row>
    <row r="1646" spans="1:3">
      <c r="A1646" t="s">
        <v>234</v>
      </c>
      <c r="B1646">
        <v>13</v>
      </c>
      <c r="C1646">
        <v>43</v>
      </c>
    </row>
    <row r="1647" spans="1:3">
      <c r="A1647" t="s">
        <v>234</v>
      </c>
      <c r="B1647">
        <v>14</v>
      </c>
      <c r="C1647">
        <v>54</v>
      </c>
    </row>
    <row r="1648" spans="1:3">
      <c r="A1648" t="s">
        <v>234</v>
      </c>
      <c r="B1648">
        <v>15</v>
      </c>
      <c r="C1648">
        <v>59</v>
      </c>
    </row>
    <row r="1649" spans="1:3">
      <c r="A1649" t="s">
        <v>234</v>
      </c>
      <c r="B1649">
        <v>16</v>
      </c>
      <c r="C1649">
        <v>44</v>
      </c>
    </row>
    <row r="1650" spans="1:3">
      <c r="A1650" t="s">
        <v>234</v>
      </c>
      <c r="B1650">
        <v>17</v>
      </c>
      <c r="C1650">
        <v>37</v>
      </c>
    </row>
    <row r="1651" spans="1:3">
      <c r="A1651" t="s">
        <v>234</v>
      </c>
      <c r="B1651">
        <v>18</v>
      </c>
      <c r="C1651">
        <v>39</v>
      </c>
    </row>
    <row r="1652" spans="1:3">
      <c r="A1652" t="s">
        <v>234</v>
      </c>
      <c r="B1652">
        <v>19</v>
      </c>
      <c r="C1652">
        <v>35</v>
      </c>
    </row>
    <row r="1653" spans="1:3">
      <c r="A1653" t="s">
        <v>234</v>
      </c>
      <c r="B1653">
        <v>20</v>
      </c>
      <c r="C1653">
        <v>36</v>
      </c>
    </row>
    <row r="1654" spans="1:3">
      <c r="A1654" t="s">
        <v>234</v>
      </c>
      <c r="B1654">
        <v>21</v>
      </c>
      <c r="C1654">
        <v>23</v>
      </c>
    </row>
    <row r="1655" spans="1:3">
      <c r="A1655" t="s">
        <v>234</v>
      </c>
      <c r="B1655">
        <v>22</v>
      </c>
      <c r="C1655">
        <v>16</v>
      </c>
    </row>
    <row r="1656" spans="1:3">
      <c r="A1656" t="s">
        <v>234</v>
      </c>
      <c r="B1656">
        <v>23</v>
      </c>
      <c r="C1656">
        <v>16</v>
      </c>
    </row>
    <row r="1657" spans="1:3">
      <c r="A1657" t="s">
        <v>234</v>
      </c>
      <c r="B1657">
        <v>24</v>
      </c>
      <c r="C1657">
        <v>6</v>
      </c>
    </row>
    <row r="1658" spans="1:3">
      <c r="A1658" t="s">
        <v>212</v>
      </c>
      <c r="B1658">
        <v>1</v>
      </c>
      <c r="C1658">
        <v>0</v>
      </c>
    </row>
    <row r="1659" spans="1:3">
      <c r="A1659" t="s">
        <v>212</v>
      </c>
      <c r="B1659">
        <v>2</v>
      </c>
      <c r="C1659">
        <v>0</v>
      </c>
    </row>
    <row r="1660" spans="1:3">
      <c r="A1660" t="s">
        <v>212</v>
      </c>
      <c r="B1660">
        <v>3</v>
      </c>
      <c r="C1660">
        <v>0</v>
      </c>
    </row>
    <row r="1661" spans="1:3">
      <c r="A1661" t="s">
        <v>212</v>
      </c>
      <c r="B1661">
        <v>4</v>
      </c>
      <c r="C1661">
        <v>18</v>
      </c>
    </row>
    <row r="1662" spans="1:3">
      <c r="A1662" t="s">
        <v>212</v>
      </c>
      <c r="B1662">
        <v>5</v>
      </c>
      <c r="C1662">
        <v>57</v>
      </c>
    </row>
    <row r="1663" spans="1:3">
      <c r="A1663" t="s">
        <v>212</v>
      </c>
      <c r="B1663">
        <v>6</v>
      </c>
      <c r="C1663">
        <v>47</v>
      </c>
    </row>
    <row r="1664" spans="1:3">
      <c r="A1664" t="s">
        <v>212</v>
      </c>
      <c r="B1664">
        <v>7</v>
      </c>
      <c r="C1664">
        <v>56</v>
      </c>
    </row>
    <row r="1665" spans="1:3">
      <c r="A1665" t="s">
        <v>212</v>
      </c>
      <c r="B1665">
        <v>8</v>
      </c>
      <c r="C1665">
        <v>46</v>
      </c>
    </row>
    <row r="1666" spans="1:3">
      <c r="A1666" t="s">
        <v>212</v>
      </c>
      <c r="B1666">
        <v>9</v>
      </c>
      <c r="C1666">
        <v>48</v>
      </c>
    </row>
    <row r="1667" spans="1:3">
      <c r="A1667" t="s">
        <v>212</v>
      </c>
      <c r="B1667">
        <v>10</v>
      </c>
      <c r="C1667">
        <v>57</v>
      </c>
    </row>
    <row r="1668" spans="1:3">
      <c r="A1668" t="s">
        <v>212</v>
      </c>
      <c r="B1668">
        <v>11</v>
      </c>
      <c r="C1668">
        <v>58</v>
      </c>
    </row>
    <row r="1669" spans="1:3">
      <c r="A1669" t="s">
        <v>212</v>
      </c>
      <c r="B1669">
        <v>12</v>
      </c>
      <c r="C1669">
        <v>63</v>
      </c>
    </row>
    <row r="1670" spans="1:3">
      <c r="A1670" t="s">
        <v>212</v>
      </c>
      <c r="B1670">
        <v>13</v>
      </c>
      <c r="C1670">
        <v>55</v>
      </c>
    </row>
    <row r="1671" spans="1:3">
      <c r="A1671" t="s">
        <v>212</v>
      </c>
      <c r="B1671">
        <v>14</v>
      </c>
      <c r="C1671">
        <v>78</v>
      </c>
    </row>
    <row r="1672" spans="1:3">
      <c r="A1672" t="s">
        <v>212</v>
      </c>
      <c r="B1672">
        <v>15</v>
      </c>
      <c r="C1672">
        <v>74</v>
      </c>
    </row>
    <row r="1673" spans="1:3">
      <c r="A1673" t="s">
        <v>212</v>
      </c>
      <c r="B1673">
        <v>16</v>
      </c>
      <c r="C1673">
        <v>57</v>
      </c>
    </row>
    <row r="1674" spans="1:3">
      <c r="A1674" t="s">
        <v>212</v>
      </c>
      <c r="B1674">
        <v>17</v>
      </c>
      <c r="C1674">
        <v>53</v>
      </c>
    </row>
    <row r="1675" spans="1:3">
      <c r="A1675" t="s">
        <v>212</v>
      </c>
      <c r="B1675">
        <v>18</v>
      </c>
      <c r="C1675">
        <v>52</v>
      </c>
    </row>
    <row r="1676" spans="1:3">
      <c r="A1676" t="s">
        <v>212</v>
      </c>
      <c r="B1676">
        <v>19</v>
      </c>
      <c r="C1676">
        <v>61</v>
      </c>
    </row>
    <row r="1677" spans="1:3">
      <c r="A1677" t="s">
        <v>212</v>
      </c>
      <c r="B1677">
        <v>20</v>
      </c>
      <c r="C1677">
        <v>35</v>
      </c>
    </row>
    <row r="1678" spans="1:3">
      <c r="A1678" t="s">
        <v>212</v>
      </c>
      <c r="B1678">
        <v>21</v>
      </c>
      <c r="C1678">
        <v>31</v>
      </c>
    </row>
    <row r="1679" spans="1:3">
      <c r="A1679" t="s">
        <v>212</v>
      </c>
      <c r="B1679">
        <v>22</v>
      </c>
      <c r="C1679">
        <v>29</v>
      </c>
    </row>
    <row r="1680" spans="1:3">
      <c r="A1680" t="s">
        <v>212</v>
      </c>
      <c r="B1680">
        <v>23</v>
      </c>
      <c r="C1680">
        <v>15</v>
      </c>
    </row>
    <row r="1681" spans="1:3">
      <c r="A1681" t="s">
        <v>212</v>
      </c>
      <c r="B1681">
        <v>24</v>
      </c>
      <c r="C1681">
        <v>7</v>
      </c>
    </row>
    <row r="1682" spans="1:3">
      <c r="A1682" t="s">
        <v>215</v>
      </c>
      <c r="B1682">
        <v>1</v>
      </c>
      <c r="C1682">
        <v>0</v>
      </c>
    </row>
    <row r="1683" spans="1:3">
      <c r="A1683" t="s">
        <v>215</v>
      </c>
      <c r="B1683">
        <v>2</v>
      </c>
      <c r="C1683">
        <v>0</v>
      </c>
    </row>
    <row r="1684" spans="1:3">
      <c r="A1684" t="s">
        <v>215</v>
      </c>
      <c r="B1684">
        <v>3</v>
      </c>
      <c r="C1684">
        <v>0</v>
      </c>
    </row>
    <row r="1685" spans="1:3">
      <c r="A1685" t="s">
        <v>215</v>
      </c>
      <c r="B1685">
        <v>4</v>
      </c>
      <c r="C1685">
        <v>21</v>
      </c>
    </row>
    <row r="1686" spans="1:3">
      <c r="A1686" t="s">
        <v>215</v>
      </c>
      <c r="B1686">
        <v>5</v>
      </c>
      <c r="C1686">
        <v>28</v>
      </c>
    </row>
    <row r="1687" spans="1:3">
      <c r="A1687" t="s">
        <v>215</v>
      </c>
      <c r="B1687">
        <v>6</v>
      </c>
      <c r="C1687">
        <v>74</v>
      </c>
    </row>
    <row r="1688" spans="1:3">
      <c r="A1688" t="s">
        <v>215</v>
      </c>
      <c r="B1688">
        <v>7</v>
      </c>
      <c r="C1688">
        <v>76</v>
      </c>
    </row>
    <row r="1689" spans="1:3">
      <c r="A1689" t="s">
        <v>215</v>
      </c>
      <c r="B1689">
        <v>8</v>
      </c>
      <c r="C1689">
        <v>72</v>
      </c>
    </row>
    <row r="1690" spans="1:3">
      <c r="A1690" t="s">
        <v>215</v>
      </c>
      <c r="B1690">
        <v>9</v>
      </c>
      <c r="C1690">
        <v>69</v>
      </c>
    </row>
    <row r="1691" spans="1:3">
      <c r="A1691" t="s">
        <v>215</v>
      </c>
      <c r="B1691">
        <v>10</v>
      </c>
      <c r="C1691">
        <v>62</v>
      </c>
    </row>
    <row r="1692" spans="1:3">
      <c r="A1692" t="s">
        <v>215</v>
      </c>
      <c r="B1692">
        <v>11</v>
      </c>
      <c r="C1692">
        <v>57</v>
      </c>
    </row>
    <row r="1693" spans="1:3">
      <c r="A1693" t="s">
        <v>215</v>
      </c>
      <c r="B1693">
        <v>12</v>
      </c>
      <c r="C1693">
        <v>56</v>
      </c>
    </row>
    <row r="1694" spans="1:3">
      <c r="A1694" t="s">
        <v>215</v>
      </c>
      <c r="B1694">
        <v>13</v>
      </c>
      <c r="C1694">
        <v>66</v>
      </c>
    </row>
    <row r="1695" spans="1:3">
      <c r="A1695" t="s">
        <v>215</v>
      </c>
      <c r="B1695">
        <v>14</v>
      </c>
      <c r="C1695">
        <v>63</v>
      </c>
    </row>
    <row r="1696" spans="1:3">
      <c r="A1696" t="s">
        <v>215</v>
      </c>
      <c r="B1696">
        <v>15</v>
      </c>
      <c r="C1696">
        <v>67</v>
      </c>
    </row>
    <row r="1697" spans="1:3">
      <c r="A1697" t="s">
        <v>215</v>
      </c>
      <c r="B1697">
        <v>16</v>
      </c>
      <c r="C1697">
        <v>71</v>
      </c>
    </row>
    <row r="1698" spans="1:3">
      <c r="A1698" t="s">
        <v>215</v>
      </c>
      <c r="B1698">
        <v>17</v>
      </c>
      <c r="C1698">
        <v>76</v>
      </c>
    </row>
    <row r="1699" spans="1:3">
      <c r="A1699" t="s">
        <v>215</v>
      </c>
      <c r="B1699">
        <v>18</v>
      </c>
      <c r="C1699">
        <v>66</v>
      </c>
    </row>
    <row r="1700" spans="1:3">
      <c r="A1700" t="s">
        <v>215</v>
      </c>
      <c r="B1700">
        <v>19</v>
      </c>
      <c r="C1700">
        <v>54</v>
      </c>
    </row>
    <row r="1701" spans="1:3">
      <c r="A1701" t="s">
        <v>215</v>
      </c>
      <c r="B1701">
        <v>20</v>
      </c>
      <c r="C1701">
        <v>47</v>
      </c>
    </row>
    <row r="1702" spans="1:3">
      <c r="A1702" t="s">
        <v>215</v>
      </c>
      <c r="B1702">
        <v>21</v>
      </c>
      <c r="C1702">
        <v>44</v>
      </c>
    </row>
    <row r="1703" spans="1:3">
      <c r="A1703" t="s">
        <v>215</v>
      </c>
      <c r="B1703">
        <v>22</v>
      </c>
      <c r="C1703">
        <v>26</v>
      </c>
    </row>
    <row r="1704" spans="1:3">
      <c r="A1704" t="s">
        <v>215</v>
      </c>
      <c r="B1704">
        <v>23</v>
      </c>
      <c r="C1704">
        <v>23</v>
      </c>
    </row>
    <row r="1705" spans="1:3">
      <c r="A1705" t="s">
        <v>215</v>
      </c>
      <c r="B1705">
        <v>24</v>
      </c>
      <c r="C1705">
        <v>10</v>
      </c>
    </row>
    <row r="1706" spans="1:3">
      <c r="A1706" t="s">
        <v>174</v>
      </c>
      <c r="B1706">
        <v>1</v>
      </c>
      <c r="C1706">
        <v>0</v>
      </c>
    </row>
    <row r="1707" spans="1:3">
      <c r="A1707" t="s">
        <v>174</v>
      </c>
      <c r="B1707">
        <v>2</v>
      </c>
      <c r="C1707">
        <v>0</v>
      </c>
    </row>
    <row r="1708" spans="1:3">
      <c r="A1708" t="s">
        <v>174</v>
      </c>
      <c r="B1708">
        <v>3</v>
      </c>
      <c r="C1708">
        <v>0</v>
      </c>
    </row>
    <row r="1709" spans="1:3">
      <c r="A1709" t="s">
        <v>174</v>
      </c>
      <c r="B1709">
        <v>4</v>
      </c>
      <c r="C1709">
        <v>18</v>
      </c>
    </row>
    <row r="1710" spans="1:3">
      <c r="A1710" t="s">
        <v>174</v>
      </c>
      <c r="B1710">
        <v>5</v>
      </c>
      <c r="C1710">
        <v>46</v>
      </c>
    </row>
    <row r="1711" spans="1:3">
      <c r="A1711" t="s">
        <v>174</v>
      </c>
      <c r="B1711">
        <v>6</v>
      </c>
      <c r="C1711">
        <v>46</v>
      </c>
    </row>
    <row r="1712" spans="1:3">
      <c r="A1712" t="s">
        <v>174</v>
      </c>
      <c r="B1712">
        <v>7</v>
      </c>
      <c r="C1712">
        <v>98</v>
      </c>
    </row>
    <row r="1713" spans="1:3">
      <c r="A1713" t="s">
        <v>174</v>
      </c>
      <c r="B1713">
        <v>8</v>
      </c>
      <c r="C1713">
        <v>87</v>
      </c>
    </row>
    <row r="1714" spans="1:3">
      <c r="A1714" t="s">
        <v>174</v>
      </c>
      <c r="B1714">
        <v>9</v>
      </c>
      <c r="C1714">
        <v>71</v>
      </c>
    </row>
    <row r="1715" spans="1:3">
      <c r="A1715" t="s">
        <v>174</v>
      </c>
      <c r="B1715">
        <v>10</v>
      </c>
      <c r="C1715">
        <v>72</v>
      </c>
    </row>
    <row r="1716" spans="1:3">
      <c r="A1716" t="s">
        <v>174</v>
      </c>
      <c r="B1716">
        <v>11</v>
      </c>
      <c r="C1716">
        <v>82</v>
      </c>
    </row>
    <row r="1717" spans="1:3">
      <c r="A1717" t="s">
        <v>174</v>
      </c>
      <c r="B1717">
        <v>12</v>
      </c>
      <c r="C1717">
        <v>97</v>
      </c>
    </row>
    <row r="1718" spans="1:3">
      <c r="A1718" t="s">
        <v>174</v>
      </c>
      <c r="B1718">
        <v>13</v>
      </c>
      <c r="C1718">
        <v>91</v>
      </c>
    </row>
    <row r="1719" spans="1:3">
      <c r="A1719" t="s">
        <v>174</v>
      </c>
      <c r="B1719">
        <v>14</v>
      </c>
      <c r="C1719">
        <v>97</v>
      </c>
    </row>
    <row r="1720" spans="1:3">
      <c r="A1720" t="s">
        <v>174</v>
      </c>
      <c r="B1720">
        <v>15</v>
      </c>
      <c r="C1720">
        <v>91</v>
      </c>
    </row>
    <row r="1721" spans="1:3">
      <c r="A1721" t="s">
        <v>174</v>
      </c>
      <c r="B1721">
        <v>16</v>
      </c>
      <c r="C1721">
        <v>90</v>
      </c>
    </row>
    <row r="1722" spans="1:3">
      <c r="A1722" t="s">
        <v>174</v>
      </c>
      <c r="B1722">
        <v>17</v>
      </c>
      <c r="C1722">
        <v>94</v>
      </c>
    </row>
    <row r="1723" spans="1:3">
      <c r="A1723" t="s">
        <v>174</v>
      </c>
      <c r="B1723">
        <v>18</v>
      </c>
      <c r="C1723">
        <v>119</v>
      </c>
    </row>
    <row r="1724" spans="1:3">
      <c r="A1724" t="s">
        <v>174</v>
      </c>
      <c r="B1724">
        <v>19</v>
      </c>
      <c r="C1724">
        <v>97</v>
      </c>
    </row>
    <row r="1725" spans="1:3">
      <c r="A1725" t="s">
        <v>174</v>
      </c>
      <c r="B1725">
        <v>20</v>
      </c>
      <c r="C1725">
        <v>78</v>
      </c>
    </row>
    <row r="1726" spans="1:3">
      <c r="A1726" t="s">
        <v>174</v>
      </c>
      <c r="B1726">
        <v>21</v>
      </c>
      <c r="C1726">
        <v>93</v>
      </c>
    </row>
    <row r="1727" spans="1:3">
      <c r="A1727" t="s">
        <v>174</v>
      </c>
      <c r="B1727">
        <v>22</v>
      </c>
      <c r="C1727">
        <v>78</v>
      </c>
    </row>
    <row r="1728" spans="1:3">
      <c r="A1728" t="s">
        <v>174</v>
      </c>
      <c r="B1728">
        <v>23</v>
      </c>
      <c r="C1728">
        <v>61</v>
      </c>
    </row>
    <row r="1729" spans="1:3">
      <c r="A1729" t="s">
        <v>174</v>
      </c>
      <c r="B1729">
        <v>24</v>
      </c>
      <c r="C1729">
        <v>14</v>
      </c>
    </row>
    <row r="1730" spans="1:3">
      <c r="A1730" t="s">
        <v>218</v>
      </c>
      <c r="B1730">
        <v>1</v>
      </c>
      <c r="C1730">
        <v>0</v>
      </c>
    </row>
    <row r="1731" spans="1:3">
      <c r="A1731" t="s">
        <v>218</v>
      </c>
      <c r="B1731">
        <v>2</v>
      </c>
      <c r="C1731">
        <v>0</v>
      </c>
    </row>
    <row r="1732" spans="1:3">
      <c r="A1732" t="s">
        <v>218</v>
      </c>
      <c r="B1732">
        <v>3</v>
      </c>
      <c r="C1732">
        <v>0</v>
      </c>
    </row>
    <row r="1733" spans="1:3">
      <c r="A1733" t="s">
        <v>218</v>
      </c>
      <c r="B1733">
        <v>4</v>
      </c>
      <c r="C1733">
        <v>13</v>
      </c>
    </row>
    <row r="1734" spans="1:3">
      <c r="A1734" t="s">
        <v>218</v>
      </c>
      <c r="B1734">
        <v>5</v>
      </c>
      <c r="C1734">
        <v>34</v>
      </c>
    </row>
    <row r="1735" spans="1:3">
      <c r="A1735" t="s">
        <v>218</v>
      </c>
      <c r="B1735">
        <v>6</v>
      </c>
      <c r="C1735">
        <v>54</v>
      </c>
    </row>
    <row r="1736" spans="1:3">
      <c r="A1736" t="s">
        <v>218</v>
      </c>
      <c r="B1736">
        <v>7</v>
      </c>
      <c r="C1736">
        <v>74</v>
      </c>
    </row>
    <row r="1737" spans="1:3">
      <c r="A1737" t="s">
        <v>218</v>
      </c>
      <c r="B1737">
        <v>8</v>
      </c>
      <c r="C1737">
        <v>55</v>
      </c>
    </row>
    <row r="1738" spans="1:3">
      <c r="A1738" t="s">
        <v>218</v>
      </c>
      <c r="B1738">
        <v>9</v>
      </c>
      <c r="C1738">
        <v>59</v>
      </c>
    </row>
    <row r="1739" spans="1:3">
      <c r="A1739" t="s">
        <v>218</v>
      </c>
      <c r="B1739">
        <v>10</v>
      </c>
      <c r="C1739">
        <v>50</v>
      </c>
    </row>
    <row r="1740" spans="1:3">
      <c r="A1740" t="s">
        <v>218</v>
      </c>
      <c r="B1740">
        <v>11</v>
      </c>
      <c r="C1740">
        <v>57</v>
      </c>
    </row>
    <row r="1741" spans="1:3">
      <c r="A1741" t="s">
        <v>218</v>
      </c>
      <c r="B1741">
        <v>12</v>
      </c>
      <c r="C1741">
        <v>61</v>
      </c>
    </row>
    <row r="1742" spans="1:3">
      <c r="A1742" t="s">
        <v>218</v>
      </c>
      <c r="B1742">
        <v>13</v>
      </c>
      <c r="C1742">
        <v>55</v>
      </c>
    </row>
    <row r="1743" spans="1:3">
      <c r="A1743" t="s">
        <v>218</v>
      </c>
      <c r="B1743">
        <v>14</v>
      </c>
      <c r="C1743">
        <v>66</v>
      </c>
    </row>
    <row r="1744" spans="1:3">
      <c r="A1744" t="s">
        <v>218</v>
      </c>
      <c r="B1744">
        <v>15</v>
      </c>
      <c r="C1744">
        <v>68</v>
      </c>
    </row>
    <row r="1745" spans="1:3">
      <c r="A1745" t="s">
        <v>218</v>
      </c>
      <c r="B1745">
        <v>16</v>
      </c>
      <c r="C1745">
        <v>69</v>
      </c>
    </row>
    <row r="1746" spans="1:3">
      <c r="A1746" t="s">
        <v>218</v>
      </c>
      <c r="B1746">
        <v>17</v>
      </c>
      <c r="C1746">
        <v>74</v>
      </c>
    </row>
    <row r="1747" spans="1:3">
      <c r="A1747" t="s">
        <v>218</v>
      </c>
      <c r="B1747">
        <v>18</v>
      </c>
      <c r="C1747">
        <v>62</v>
      </c>
    </row>
    <row r="1748" spans="1:3">
      <c r="A1748" t="s">
        <v>218</v>
      </c>
      <c r="B1748">
        <v>19</v>
      </c>
      <c r="C1748">
        <v>49</v>
      </c>
    </row>
    <row r="1749" spans="1:3">
      <c r="A1749" t="s">
        <v>218</v>
      </c>
      <c r="B1749">
        <v>20</v>
      </c>
      <c r="C1749">
        <v>41</v>
      </c>
    </row>
    <row r="1750" spans="1:3">
      <c r="A1750" t="s">
        <v>218</v>
      </c>
      <c r="B1750">
        <v>21</v>
      </c>
      <c r="C1750">
        <v>37</v>
      </c>
    </row>
    <row r="1751" spans="1:3">
      <c r="A1751" t="s">
        <v>218</v>
      </c>
      <c r="B1751">
        <v>22</v>
      </c>
      <c r="C1751">
        <v>36</v>
      </c>
    </row>
    <row r="1752" spans="1:3">
      <c r="A1752" t="s">
        <v>218</v>
      </c>
      <c r="B1752">
        <v>23</v>
      </c>
      <c r="C1752">
        <v>54</v>
      </c>
    </row>
    <row r="1753" spans="1:3">
      <c r="A1753" t="s">
        <v>218</v>
      </c>
      <c r="B1753">
        <v>24</v>
      </c>
      <c r="C1753">
        <v>25</v>
      </c>
    </row>
    <row r="1754" spans="1:3">
      <c r="A1754" t="s">
        <v>210</v>
      </c>
      <c r="B1754">
        <v>1</v>
      </c>
      <c r="C1754">
        <v>0</v>
      </c>
    </row>
    <row r="1755" spans="1:3">
      <c r="A1755" t="s">
        <v>210</v>
      </c>
      <c r="B1755">
        <v>2</v>
      </c>
      <c r="C1755">
        <v>0</v>
      </c>
    </row>
    <row r="1756" spans="1:3">
      <c r="A1756" t="s">
        <v>210</v>
      </c>
      <c r="B1756">
        <v>3</v>
      </c>
      <c r="C1756">
        <v>0</v>
      </c>
    </row>
    <row r="1757" spans="1:3">
      <c r="A1757" t="s">
        <v>210</v>
      </c>
      <c r="B1757">
        <v>4</v>
      </c>
      <c r="C1757">
        <v>37</v>
      </c>
    </row>
    <row r="1758" spans="1:3">
      <c r="A1758" t="s">
        <v>210</v>
      </c>
      <c r="B1758">
        <v>5</v>
      </c>
      <c r="C1758">
        <v>49</v>
      </c>
    </row>
    <row r="1759" spans="1:3">
      <c r="A1759" t="s">
        <v>210</v>
      </c>
      <c r="B1759">
        <v>6</v>
      </c>
      <c r="C1759">
        <v>54</v>
      </c>
    </row>
    <row r="1760" spans="1:3">
      <c r="A1760" t="s">
        <v>210</v>
      </c>
      <c r="B1760">
        <v>7</v>
      </c>
      <c r="C1760">
        <v>68</v>
      </c>
    </row>
    <row r="1761" spans="1:3">
      <c r="A1761" t="s">
        <v>210</v>
      </c>
      <c r="B1761">
        <v>8</v>
      </c>
      <c r="C1761">
        <v>79</v>
      </c>
    </row>
    <row r="1762" spans="1:3">
      <c r="A1762" t="s">
        <v>210</v>
      </c>
      <c r="B1762">
        <v>9</v>
      </c>
      <c r="C1762">
        <v>79</v>
      </c>
    </row>
    <row r="1763" spans="1:3">
      <c r="A1763" t="s">
        <v>210</v>
      </c>
      <c r="B1763">
        <v>10</v>
      </c>
      <c r="C1763">
        <v>71</v>
      </c>
    </row>
    <row r="1764" spans="1:3">
      <c r="A1764" t="s">
        <v>210</v>
      </c>
      <c r="B1764">
        <v>11</v>
      </c>
      <c r="C1764">
        <v>64</v>
      </c>
    </row>
    <row r="1765" spans="1:3">
      <c r="A1765" t="s">
        <v>210</v>
      </c>
      <c r="B1765">
        <v>12</v>
      </c>
      <c r="C1765">
        <v>61</v>
      </c>
    </row>
    <row r="1766" spans="1:3">
      <c r="A1766" t="s">
        <v>210</v>
      </c>
      <c r="B1766">
        <v>13</v>
      </c>
      <c r="C1766">
        <v>64</v>
      </c>
    </row>
    <row r="1767" spans="1:3">
      <c r="A1767" t="s">
        <v>210</v>
      </c>
      <c r="B1767">
        <v>14</v>
      </c>
      <c r="C1767">
        <v>77</v>
      </c>
    </row>
    <row r="1768" spans="1:3">
      <c r="A1768" t="s">
        <v>210</v>
      </c>
      <c r="B1768">
        <v>15</v>
      </c>
      <c r="C1768">
        <v>78</v>
      </c>
    </row>
    <row r="1769" spans="1:3">
      <c r="A1769" t="s">
        <v>210</v>
      </c>
      <c r="B1769">
        <v>16</v>
      </c>
      <c r="C1769">
        <v>74</v>
      </c>
    </row>
    <row r="1770" spans="1:3">
      <c r="A1770" t="s">
        <v>210</v>
      </c>
      <c r="B1770">
        <v>17</v>
      </c>
      <c r="C1770">
        <v>60</v>
      </c>
    </row>
    <row r="1771" spans="1:3">
      <c r="A1771" t="s">
        <v>210</v>
      </c>
      <c r="B1771">
        <v>18</v>
      </c>
      <c r="C1771">
        <v>54</v>
      </c>
    </row>
    <row r="1772" spans="1:3">
      <c r="A1772" t="s">
        <v>210</v>
      </c>
      <c r="B1772">
        <v>19</v>
      </c>
      <c r="C1772">
        <v>48</v>
      </c>
    </row>
    <row r="1773" spans="1:3">
      <c r="A1773" t="s">
        <v>210</v>
      </c>
      <c r="B1773">
        <v>20</v>
      </c>
      <c r="C1773">
        <v>43</v>
      </c>
    </row>
    <row r="1774" spans="1:3">
      <c r="A1774" t="s">
        <v>210</v>
      </c>
      <c r="B1774">
        <v>21</v>
      </c>
      <c r="C1774">
        <v>29</v>
      </c>
    </row>
    <row r="1775" spans="1:3">
      <c r="A1775" t="s">
        <v>210</v>
      </c>
      <c r="B1775">
        <v>22</v>
      </c>
      <c r="C1775">
        <v>22</v>
      </c>
    </row>
    <row r="1776" spans="1:3">
      <c r="A1776" t="s">
        <v>210</v>
      </c>
      <c r="B1776">
        <v>23</v>
      </c>
      <c r="C1776">
        <v>35</v>
      </c>
    </row>
    <row r="1777" spans="1:3">
      <c r="A1777" t="s">
        <v>210</v>
      </c>
      <c r="B1777">
        <v>24</v>
      </c>
      <c r="C1777">
        <v>9</v>
      </c>
    </row>
    <row r="1778" spans="1:3">
      <c r="A1778" t="s">
        <v>188</v>
      </c>
      <c r="B1778">
        <v>1</v>
      </c>
      <c r="C1778">
        <v>0</v>
      </c>
    </row>
    <row r="1779" spans="1:3">
      <c r="A1779" t="s">
        <v>188</v>
      </c>
      <c r="B1779">
        <v>2</v>
      </c>
      <c r="C1779">
        <v>0</v>
      </c>
    </row>
    <row r="1780" spans="1:3">
      <c r="A1780" t="s">
        <v>188</v>
      </c>
      <c r="B1780">
        <v>3</v>
      </c>
      <c r="C1780">
        <v>0</v>
      </c>
    </row>
    <row r="1781" spans="1:3">
      <c r="A1781" t="s">
        <v>188</v>
      </c>
      <c r="B1781">
        <v>4</v>
      </c>
      <c r="C1781">
        <v>16</v>
      </c>
    </row>
    <row r="1782" spans="1:3">
      <c r="A1782" t="s">
        <v>188</v>
      </c>
      <c r="B1782">
        <v>5</v>
      </c>
      <c r="C1782">
        <v>37</v>
      </c>
    </row>
    <row r="1783" spans="1:3">
      <c r="A1783" t="s">
        <v>188</v>
      </c>
      <c r="B1783">
        <v>6</v>
      </c>
      <c r="C1783">
        <v>71</v>
      </c>
    </row>
    <row r="1784" spans="1:3">
      <c r="A1784" t="s">
        <v>188</v>
      </c>
      <c r="B1784">
        <v>7</v>
      </c>
      <c r="C1784">
        <v>72</v>
      </c>
    </row>
    <row r="1785" spans="1:3">
      <c r="A1785" t="s">
        <v>188</v>
      </c>
      <c r="B1785">
        <v>8</v>
      </c>
      <c r="C1785">
        <v>60</v>
      </c>
    </row>
    <row r="1786" spans="1:3">
      <c r="A1786" t="s">
        <v>188</v>
      </c>
      <c r="B1786">
        <v>9</v>
      </c>
      <c r="C1786">
        <v>66</v>
      </c>
    </row>
    <row r="1787" spans="1:3">
      <c r="A1787" t="s">
        <v>188</v>
      </c>
      <c r="B1787">
        <v>10</v>
      </c>
      <c r="C1787">
        <v>55</v>
      </c>
    </row>
    <row r="1788" spans="1:3">
      <c r="A1788" t="s">
        <v>188</v>
      </c>
      <c r="B1788">
        <v>11</v>
      </c>
      <c r="C1788">
        <v>54</v>
      </c>
    </row>
    <row r="1789" spans="1:3">
      <c r="A1789" t="s">
        <v>188</v>
      </c>
      <c r="B1789">
        <v>12</v>
      </c>
      <c r="C1789">
        <v>62</v>
      </c>
    </row>
    <row r="1790" spans="1:3">
      <c r="A1790" t="s">
        <v>188</v>
      </c>
      <c r="B1790">
        <v>13</v>
      </c>
      <c r="C1790">
        <v>64</v>
      </c>
    </row>
    <row r="1791" spans="1:3">
      <c r="A1791" t="s">
        <v>188</v>
      </c>
      <c r="B1791">
        <v>14</v>
      </c>
      <c r="C1791">
        <v>73</v>
      </c>
    </row>
    <row r="1792" spans="1:3">
      <c r="A1792" t="s">
        <v>188</v>
      </c>
      <c r="B1792">
        <v>15</v>
      </c>
      <c r="C1792">
        <v>75</v>
      </c>
    </row>
    <row r="1793" spans="1:3">
      <c r="A1793" t="s">
        <v>188</v>
      </c>
      <c r="B1793">
        <v>16</v>
      </c>
      <c r="C1793">
        <v>73</v>
      </c>
    </row>
    <row r="1794" spans="1:3">
      <c r="A1794" t="s">
        <v>188</v>
      </c>
      <c r="B1794">
        <v>17</v>
      </c>
      <c r="C1794">
        <v>63</v>
      </c>
    </row>
    <row r="1795" spans="1:3">
      <c r="A1795" t="s">
        <v>188</v>
      </c>
      <c r="B1795">
        <v>18</v>
      </c>
      <c r="C1795">
        <v>73</v>
      </c>
    </row>
    <row r="1796" spans="1:3">
      <c r="A1796" t="s">
        <v>188</v>
      </c>
      <c r="B1796">
        <v>19</v>
      </c>
      <c r="C1796">
        <v>54</v>
      </c>
    </row>
    <row r="1797" spans="1:3">
      <c r="A1797" t="s">
        <v>188</v>
      </c>
      <c r="B1797">
        <v>20</v>
      </c>
      <c r="C1797">
        <v>47</v>
      </c>
    </row>
    <row r="1798" spans="1:3">
      <c r="A1798" t="s">
        <v>188</v>
      </c>
      <c r="B1798">
        <v>21</v>
      </c>
      <c r="C1798">
        <v>37</v>
      </c>
    </row>
    <row r="1799" spans="1:3">
      <c r="A1799" t="s">
        <v>188</v>
      </c>
      <c r="B1799">
        <v>22</v>
      </c>
      <c r="C1799">
        <v>90</v>
      </c>
    </row>
    <row r="1800" spans="1:3">
      <c r="A1800" t="s">
        <v>188</v>
      </c>
      <c r="B1800">
        <v>23</v>
      </c>
      <c r="C1800">
        <v>18</v>
      </c>
    </row>
    <row r="1801" spans="1:3">
      <c r="A1801" t="s">
        <v>188</v>
      </c>
      <c r="B1801">
        <v>24</v>
      </c>
      <c r="C1801">
        <v>13</v>
      </c>
    </row>
    <row r="1802" spans="1:3">
      <c r="A1802" t="s">
        <v>202</v>
      </c>
      <c r="B1802">
        <v>1</v>
      </c>
      <c r="C1802">
        <v>0</v>
      </c>
    </row>
    <row r="1803" spans="1:3">
      <c r="A1803" t="s">
        <v>202</v>
      </c>
      <c r="B1803">
        <v>2</v>
      </c>
      <c r="C1803">
        <v>0</v>
      </c>
    </row>
    <row r="1804" spans="1:3">
      <c r="A1804" t="s">
        <v>202</v>
      </c>
      <c r="B1804">
        <v>3</v>
      </c>
      <c r="C1804">
        <v>0</v>
      </c>
    </row>
    <row r="1805" spans="1:3">
      <c r="A1805" t="s">
        <v>202</v>
      </c>
      <c r="B1805">
        <v>4</v>
      </c>
      <c r="C1805">
        <v>20</v>
      </c>
    </row>
    <row r="1806" spans="1:3">
      <c r="A1806" t="s">
        <v>202</v>
      </c>
      <c r="B1806">
        <v>5</v>
      </c>
      <c r="C1806">
        <v>20</v>
      </c>
    </row>
    <row r="1807" spans="1:3">
      <c r="A1807" t="s">
        <v>202</v>
      </c>
      <c r="B1807">
        <v>6</v>
      </c>
      <c r="C1807">
        <v>47</v>
      </c>
    </row>
    <row r="1808" spans="1:3">
      <c r="A1808" t="s">
        <v>202</v>
      </c>
      <c r="B1808">
        <v>7</v>
      </c>
      <c r="C1808">
        <v>52</v>
      </c>
    </row>
    <row r="1809" spans="1:3">
      <c r="A1809" t="s">
        <v>202</v>
      </c>
      <c r="B1809">
        <v>8</v>
      </c>
      <c r="C1809">
        <v>76</v>
      </c>
    </row>
    <row r="1810" spans="1:3">
      <c r="A1810" t="s">
        <v>202</v>
      </c>
      <c r="B1810">
        <v>9</v>
      </c>
      <c r="C1810">
        <v>83</v>
      </c>
    </row>
    <row r="1811" spans="1:3">
      <c r="A1811" t="s">
        <v>202</v>
      </c>
      <c r="B1811">
        <v>10</v>
      </c>
      <c r="C1811">
        <v>73</v>
      </c>
    </row>
    <row r="1812" spans="1:3">
      <c r="A1812" t="s">
        <v>202</v>
      </c>
      <c r="B1812">
        <v>11</v>
      </c>
      <c r="C1812">
        <v>75</v>
      </c>
    </row>
    <row r="1813" spans="1:3">
      <c r="A1813" t="s">
        <v>202</v>
      </c>
      <c r="B1813">
        <v>12</v>
      </c>
      <c r="C1813">
        <v>56</v>
      </c>
    </row>
    <row r="1814" spans="1:3">
      <c r="A1814" t="s">
        <v>202</v>
      </c>
      <c r="B1814">
        <v>13</v>
      </c>
      <c r="C1814">
        <v>75</v>
      </c>
    </row>
    <row r="1815" spans="1:3">
      <c r="A1815" t="s">
        <v>202</v>
      </c>
      <c r="B1815">
        <v>14</v>
      </c>
      <c r="C1815">
        <v>71</v>
      </c>
    </row>
    <row r="1816" spans="1:3">
      <c r="A1816" t="s">
        <v>202</v>
      </c>
      <c r="B1816">
        <v>15</v>
      </c>
      <c r="C1816">
        <v>62</v>
      </c>
    </row>
    <row r="1817" spans="1:3">
      <c r="A1817" t="s">
        <v>202</v>
      </c>
      <c r="B1817">
        <v>16</v>
      </c>
      <c r="C1817">
        <v>51</v>
      </c>
    </row>
    <row r="1818" spans="1:3">
      <c r="A1818" t="s">
        <v>202</v>
      </c>
      <c r="B1818">
        <v>17</v>
      </c>
      <c r="C1818">
        <v>53</v>
      </c>
    </row>
    <row r="1819" spans="1:3">
      <c r="A1819" t="s">
        <v>202</v>
      </c>
      <c r="B1819">
        <v>18</v>
      </c>
      <c r="C1819">
        <v>69</v>
      </c>
    </row>
    <row r="1820" spans="1:3">
      <c r="A1820" t="s">
        <v>202</v>
      </c>
      <c r="B1820">
        <v>19</v>
      </c>
      <c r="C1820">
        <v>78</v>
      </c>
    </row>
    <row r="1821" spans="1:3">
      <c r="A1821" t="s">
        <v>202</v>
      </c>
      <c r="B1821">
        <v>20</v>
      </c>
      <c r="C1821">
        <v>79</v>
      </c>
    </row>
    <row r="1822" spans="1:3">
      <c r="A1822" t="s">
        <v>202</v>
      </c>
      <c r="B1822">
        <v>21</v>
      </c>
      <c r="C1822">
        <v>39</v>
      </c>
    </row>
    <row r="1823" spans="1:3">
      <c r="A1823" t="s">
        <v>202</v>
      </c>
      <c r="B1823">
        <v>22</v>
      </c>
      <c r="C1823">
        <v>32</v>
      </c>
    </row>
    <row r="1824" spans="1:3">
      <c r="A1824" t="s">
        <v>202</v>
      </c>
      <c r="B1824">
        <v>23</v>
      </c>
      <c r="C1824">
        <v>19</v>
      </c>
    </row>
    <row r="1825" spans="1:3">
      <c r="A1825" t="s">
        <v>202</v>
      </c>
      <c r="B1825">
        <v>24</v>
      </c>
      <c r="C1825">
        <v>9</v>
      </c>
    </row>
    <row r="1826" spans="1:3">
      <c r="A1826" t="s">
        <v>204</v>
      </c>
      <c r="B1826">
        <v>1</v>
      </c>
      <c r="C1826">
        <v>0</v>
      </c>
    </row>
    <row r="1827" spans="1:3">
      <c r="A1827" t="s">
        <v>204</v>
      </c>
      <c r="B1827">
        <v>2</v>
      </c>
      <c r="C1827">
        <v>0</v>
      </c>
    </row>
    <row r="1828" spans="1:3">
      <c r="A1828" t="s">
        <v>204</v>
      </c>
      <c r="B1828">
        <v>3</v>
      </c>
      <c r="C1828">
        <v>0</v>
      </c>
    </row>
    <row r="1829" spans="1:3">
      <c r="A1829" t="s">
        <v>204</v>
      </c>
      <c r="B1829">
        <v>4</v>
      </c>
      <c r="C1829">
        <v>14</v>
      </c>
    </row>
    <row r="1830" spans="1:3">
      <c r="A1830" t="s">
        <v>204</v>
      </c>
      <c r="B1830">
        <v>5</v>
      </c>
      <c r="C1830">
        <v>41</v>
      </c>
    </row>
    <row r="1831" spans="1:3">
      <c r="A1831" t="s">
        <v>204</v>
      </c>
      <c r="B1831">
        <v>6</v>
      </c>
      <c r="C1831">
        <v>65</v>
      </c>
    </row>
    <row r="1832" spans="1:3">
      <c r="A1832" t="s">
        <v>204</v>
      </c>
      <c r="B1832">
        <v>7</v>
      </c>
      <c r="C1832">
        <v>82</v>
      </c>
    </row>
    <row r="1833" spans="1:3">
      <c r="A1833" t="s">
        <v>204</v>
      </c>
      <c r="B1833">
        <v>8</v>
      </c>
      <c r="C1833">
        <v>63</v>
      </c>
    </row>
    <row r="1834" spans="1:3">
      <c r="A1834" t="s">
        <v>204</v>
      </c>
      <c r="B1834">
        <v>9</v>
      </c>
      <c r="C1834">
        <v>78</v>
      </c>
    </row>
    <row r="1835" spans="1:3">
      <c r="A1835" t="s">
        <v>204</v>
      </c>
      <c r="B1835">
        <v>10</v>
      </c>
      <c r="C1835">
        <v>78</v>
      </c>
    </row>
    <row r="1836" spans="1:3">
      <c r="A1836" t="s">
        <v>204</v>
      </c>
      <c r="B1836">
        <v>11</v>
      </c>
      <c r="C1836">
        <v>57</v>
      </c>
    </row>
    <row r="1837" spans="1:3">
      <c r="A1837" t="s">
        <v>204</v>
      </c>
      <c r="B1837">
        <v>12</v>
      </c>
      <c r="C1837">
        <v>50</v>
      </c>
    </row>
    <row r="1838" spans="1:3">
      <c r="A1838" t="s">
        <v>204</v>
      </c>
      <c r="B1838">
        <v>13</v>
      </c>
      <c r="C1838">
        <v>59</v>
      </c>
    </row>
    <row r="1839" spans="1:3">
      <c r="A1839" t="s">
        <v>204</v>
      </c>
      <c r="B1839">
        <v>14</v>
      </c>
      <c r="C1839">
        <v>65</v>
      </c>
    </row>
    <row r="1840" spans="1:3">
      <c r="A1840" t="s">
        <v>204</v>
      </c>
      <c r="B1840">
        <v>15</v>
      </c>
      <c r="C1840">
        <v>70</v>
      </c>
    </row>
    <row r="1841" spans="1:3">
      <c r="A1841" t="s">
        <v>204</v>
      </c>
      <c r="B1841">
        <v>16</v>
      </c>
      <c r="C1841">
        <v>68</v>
      </c>
    </row>
    <row r="1842" spans="1:3">
      <c r="A1842" t="s">
        <v>204</v>
      </c>
      <c r="B1842">
        <v>17</v>
      </c>
      <c r="C1842">
        <v>75</v>
      </c>
    </row>
    <row r="1843" spans="1:3">
      <c r="A1843" t="s">
        <v>204</v>
      </c>
      <c r="B1843">
        <v>18</v>
      </c>
      <c r="C1843">
        <v>57</v>
      </c>
    </row>
    <row r="1844" spans="1:3">
      <c r="A1844" t="s">
        <v>204</v>
      </c>
      <c r="B1844">
        <v>19</v>
      </c>
      <c r="C1844">
        <v>55</v>
      </c>
    </row>
    <row r="1845" spans="1:3">
      <c r="A1845" t="s">
        <v>204</v>
      </c>
      <c r="B1845">
        <v>20</v>
      </c>
      <c r="C1845">
        <v>47</v>
      </c>
    </row>
    <row r="1846" spans="1:3">
      <c r="A1846" t="s">
        <v>204</v>
      </c>
      <c r="B1846">
        <v>21</v>
      </c>
      <c r="C1846">
        <v>37</v>
      </c>
    </row>
    <row r="1847" spans="1:3">
      <c r="A1847" t="s">
        <v>204</v>
      </c>
      <c r="B1847">
        <v>22</v>
      </c>
      <c r="C1847">
        <v>32</v>
      </c>
    </row>
    <row r="1848" spans="1:3">
      <c r="A1848" t="s">
        <v>204</v>
      </c>
      <c r="B1848">
        <v>23</v>
      </c>
      <c r="C1848">
        <v>25</v>
      </c>
    </row>
    <row r="1849" spans="1:3">
      <c r="A1849" t="s">
        <v>204</v>
      </c>
      <c r="B1849">
        <v>24</v>
      </c>
      <c r="C1849">
        <v>10</v>
      </c>
    </row>
    <row r="1850" spans="1:3">
      <c r="A1850" t="s">
        <v>243</v>
      </c>
      <c r="B1850">
        <v>1</v>
      </c>
      <c r="C1850">
        <v>0</v>
      </c>
    </row>
    <row r="1851" spans="1:3">
      <c r="A1851" t="s">
        <v>243</v>
      </c>
      <c r="B1851">
        <v>2</v>
      </c>
      <c r="C1851">
        <v>0</v>
      </c>
    </row>
    <row r="1852" spans="1:3">
      <c r="A1852" t="s">
        <v>243</v>
      </c>
      <c r="B1852">
        <v>3</v>
      </c>
      <c r="C1852">
        <v>0</v>
      </c>
    </row>
    <row r="1853" spans="1:3">
      <c r="A1853" t="s">
        <v>243</v>
      </c>
      <c r="B1853">
        <v>4</v>
      </c>
      <c r="C1853">
        <v>16</v>
      </c>
    </row>
    <row r="1854" spans="1:3">
      <c r="A1854" t="s">
        <v>243</v>
      </c>
      <c r="B1854">
        <v>5</v>
      </c>
      <c r="C1854">
        <v>41</v>
      </c>
    </row>
    <row r="1855" spans="1:3">
      <c r="A1855" t="s">
        <v>243</v>
      </c>
      <c r="B1855">
        <v>6</v>
      </c>
      <c r="C1855">
        <v>38</v>
      </c>
    </row>
    <row r="1856" spans="1:3">
      <c r="A1856" t="s">
        <v>243</v>
      </c>
      <c r="B1856">
        <v>7</v>
      </c>
      <c r="C1856">
        <v>49</v>
      </c>
    </row>
    <row r="1857" spans="1:3">
      <c r="A1857" t="s">
        <v>243</v>
      </c>
      <c r="B1857">
        <v>8</v>
      </c>
      <c r="C1857">
        <v>29</v>
      </c>
    </row>
    <row r="1858" spans="1:3">
      <c r="A1858" t="s">
        <v>243</v>
      </c>
      <c r="B1858">
        <v>9</v>
      </c>
      <c r="C1858">
        <v>40</v>
      </c>
    </row>
    <row r="1859" spans="1:3">
      <c r="A1859" t="s">
        <v>243</v>
      </c>
      <c r="B1859">
        <v>10</v>
      </c>
      <c r="C1859">
        <v>23</v>
      </c>
    </row>
    <row r="1860" spans="1:3">
      <c r="A1860" t="s">
        <v>243</v>
      </c>
      <c r="B1860">
        <v>11</v>
      </c>
      <c r="C1860">
        <v>16</v>
      </c>
    </row>
    <row r="1861" spans="1:3">
      <c r="A1861" t="s">
        <v>243</v>
      </c>
      <c r="B1861">
        <v>12</v>
      </c>
      <c r="C1861">
        <v>20</v>
      </c>
    </row>
    <row r="1862" spans="1:3">
      <c r="A1862" t="s">
        <v>243</v>
      </c>
      <c r="B1862">
        <v>13</v>
      </c>
      <c r="C1862">
        <v>23</v>
      </c>
    </row>
    <row r="1863" spans="1:3">
      <c r="A1863" t="s">
        <v>243</v>
      </c>
      <c r="B1863">
        <v>14</v>
      </c>
      <c r="C1863">
        <v>23</v>
      </c>
    </row>
    <row r="1864" spans="1:3">
      <c r="A1864" t="s">
        <v>243</v>
      </c>
      <c r="B1864">
        <v>15</v>
      </c>
      <c r="C1864">
        <v>28</v>
      </c>
    </row>
    <row r="1865" spans="1:3">
      <c r="A1865" t="s">
        <v>243</v>
      </c>
      <c r="B1865">
        <v>16</v>
      </c>
      <c r="C1865">
        <v>31</v>
      </c>
    </row>
    <row r="1866" spans="1:3">
      <c r="A1866" t="s">
        <v>243</v>
      </c>
      <c r="B1866">
        <v>17</v>
      </c>
      <c r="C1866">
        <v>49</v>
      </c>
    </row>
    <row r="1867" spans="1:3">
      <c r="A1867" t="s">
        <v>243</v>
      </c>
      <c r="B1867">
        <v>18</v>
      </c>
      <c r="C1867">
        <v>22</v>
      </c>
    </row>
    <row r="1868" spans="1:3">
      <c r="A1868" t="s">
        <v>243</v>
      </c>
      <c r="B1868">
        <v>19</v>
      </c>
      <c r="C1868">
        <v>20</v>
      </c>
    </row>
    <row r="1869" spans="1:3">
      <c r="A1869" t="s">
        <v>243</v>
      </c>
      <c r="B1869">
        <v>20</v>
      </c>
      <c r="C1869">
        <v>16</v>
      </c>
    </row>
    <row r="1870" spans="1:3">
      <c r="A1870" t="s">
        <v>243</v>
      </c>
      <c r="B1870">
        <v>21</v>
      </c>
      <c r="C1870">
        <v>12</v>
      </c>
    </row>
    <row r="1871" spans="1:3">
      <c r="A1871" t="s">
        <v>243</v>
      </c>
      <c r="B1871">
        <v>22</v>
      </c>
      <c r="C1871">
        <v>10</v>
      </c>
    </row>
    <row r="1872" spans="1:3">
      <c r="A1872" t="s">
        <v>243</v>
      </c>
      <c r="B1872">
        <v>23</v>
      </c>
      <c r="C1872">
        <v>5</v>
      </c>
    </row>
    <row r="1873" spans="1:3">
      <c r="A1873" t="s">
        <v>243</v>
      </c>
      <c r="B1873">
        <v>24</v>
      </c>
      <c r="C1873">
        <v>0</v>
      </c>
    </row>
    <row r="1874" spans="1:3">
      <c r="A1874" t="s">
        <v>229</v>
      </c>
      <c r="B1874">
        <v>1</v>
      </c>
      <c r="C1874">
        <v>0</v>
      </c>
    </row>
    <row r="1875" spans="1:3">
      <c r="A1875" t="s">
        <v>229</v>
      </c>
      <c r="B1875">
        <v>2</v>
      </c>
      <c r="C1875">
        <v>0</v>
      </c>
    </row>
    <row r="1876" spans="1:3">
      <c r="A1876" t="s">
        <v>229</v>
      </c>
      <c r="B1876">
        <v>3</v>
      </c>
      <c r="C1876">
        <v>0</v>
      </c>
    </row>
    <row r="1877" spans="1:3">
      <c r="A1877" t="s">
        <v>229</v>
      </c>
      <c r="B1877">
        <v>4</v>
      </c>
      <c r="C1877">
        <v>14</v>
      </c>
    </row>
    <row r="1878" spans="1:3">
      <c r="A1878" t="s">
        <v>229</v>
      </c>
      <c r="B1878">
        <v>5</v>
      </c>
      <c r="C1878">
        <v>47</v>
      </c>
    </row>
    <row r="1879" spans="1:3">
      <c r="A1879" t="s">
        <v>229</v>
      </c>
      <c r="B1879">
        <v>6</v>
      </c>
      <c r="C1879">
        <v>56</v>
      </c>
    </row>
    <row r="1880" spans="1:3">
      <c r="A1880" t="s">
        <v>229</v>
      </c>
      <c r="B1880">
        <v>7</v>
      </c>
      <c r="C1880">
        <v>47</v>
      </c>
    </row>
    <row r="1881" spans="1:3">
      <c r="A1881" t="s">
        <v>229</v>
      </c>
      <c r="B1881">
        <v>8</v>
      </c>
      <c r="C1881">
        <v>46</v>
      </c>
    </row>
    <row r="1882" spans="1:3">
      <c r="A1882" t="s">
        <v>229</v>
      </c>
      <c r="B1882">
        <v>9</v>
      </c>
      <c r="C1882">
        <v>66</v>
      </c>
    </row>
    <row r="1883" spans="1:3">
      <c r="A1883" t="s">
        <v>229</v>
      </c>
      <c r="B1883">
        <v>10</v>
      </c>
      <c r="C1883">
        <v>58</v>
      </c>
    </row>
    <row r="1884" spans="1:3">
      <c r="A1884" t="s">
        <v>229</v>
      </c>
      <c r="B1884">
        <v>11</v>
      </c>
      <c r="C1884">
        <v>44</v>
      </c>
    </row>
    <row r="1885" spans="1:3">
      <c r="A1885" t="s">
        <v>229</v>
      </c>
      <c r="B1885">
        <v>12</v>
      </c>
      <c r="C1885">
        <v>41</v>
      </c>
    </row>
    <row r="1886" spans="1:3">
      <c r="A1886" t="s">
        <v>229</v>
      </c>
      <c r="B1886">
        <v>13</v>
      </c>
      <c r="C1886">
        <v>55</v>
      </c>
    </row>
    <row r="1887" spans="1:3">
      <c r="A1887" t="s">
        <v>229</v>
      </c>
      <c r="B1887">
        <v>14</v>
      </c>
      <c r="C1887">
        <v>60</v>
      </c>
    </row>
    <row r="1888" spans="1:3">
      <c r="A1888" t="s">
        <v>229</v>
      </c>
      <c r="B1888">
        <v>15</v>
      </c>
      <c r="C1888">
        <v>59</v>
      </c>
    </row>
    <row r="1889" spans="1:3">
      <c r="A1889" t="s">
        <v>229</v>
      </c>
      <c r="B1889">
        <v>16</v>
      </c>
      <c r="C1889">
        <v>52</v>
      </c>
    </row>
    <row r="1890" spans="1:3">
      <c r="A1890" t="s">
        <v>229</v>
      </c>
      <c r="B1890">
        <v>17</v>
      </c>
      <c r="C1890">
        <v>48</v>
      </c>
    </row>
    <row r="1891" spans="1:3">
      <c r="A1891" t="s">
        <v>229</v>
      </c>
      <c r="B1891">
        <v>18</v>
      </c>
      <c r="C1891">
        <v>50</v>
      </c>
    </row>
    <row r="1892" spans="1:3">
      <c r="A1892" t="s">
        <v>229</v>
      </c>
      <c r="B1892">
        <v>19</v>
      </c>
      <c r="C1892">
        <v>54</v>
      </c>
    </row>
    <row r="1893" spans="1:3">
      <c r="A1893" t="s">
        <v>229</v>
      </c>
      <c r="B1893">
        <v>20</v>
      </c>
      <c r="C1893">
        <v>39</v>
      </c>
    </row>
    <row r="1894" spans="1:3">
      <c r="A1894" t="s">
        <v>229</v>
      </c>
      <c r="B1894">
        <v>21</v>
      </c>
      <c r="C1894">
        <v>38</v>
      </c>
    </row>
    <row r="1895" spans="1:3">
      <c r="A1895" t="s">
        <v>229</v>
      </c>
      <c r="B1895">
        <v>22</v>
      </c>
      <c r="C1895">
        <v>38</v>
      </c>
    </row>
    <row r="1896" spans="1:3">
      <c r="A1896" t="s">
        <v>229</v>
      </c>
      <c r="B1896">
        <v>23</v>
      </c>
      <c r="C1896">
        <v>20</v>
      </c>
    </row>
    <row r="1897" spans="1:3">
      <c r="A1897" t="s">
        <v>229</v>
      </c>
      <c r="B1897">
        <v>24</v>
      </c>
      <c r="C1897">
        <v>0</v>
      </c>
    </row>
    <row r="1898" spans="1:3">
      <c r="A1898" t="s">
        <v>272</v>
      </c>
      <c r="B1898">
        <v>1</v>
      </c>
      <c r="C1898">
        <v>0</v>
      </c>
    </row>
    <row r="1899" spans="1:3">
      <c r="A1899" t="s">
        <v>272</v>
      </c>
      <c r="B1899">
        <v>2</v>
      </c>
      <c r="C1899">
        <v>0</v>
      </c>
    </row>
    <row r="1900" spans="1:3">
      <c r="A1900" t="s">
        <v>272</v>
      </c>
      <c r="B1900">
        <v>3</v>
      </c>
      <c r="C1900">
        <v>0</v>
      </c>
    </row>
    <row r="1901" spans="1:3">
      <c r="A1901" t="s">
        <v>272</v>
      </c>
      <c r="B1901">
        <v>4</v>
      </c>
      <c r="C1901">
        <v>0</v>
      </c>
    </row>
    <row r="1902" spans="1:3">
      <c r="A1902" t="s">
        <v>272</v>
      </c>
      <c r="B1902">
        <v>5</v>
      </c>
      <c r="C1902">
        <v>0</v>
      </c>
    </row>
    <row r="1903" spans="1:3">
      <c r="A1903" t="s">
        <v>272</v>
      </c>
      <c r="B1903">
        <v>6</v>
      </c>
      <c r="C1903">
        <v>0</v>
      </c>
    </row>
    <row r="1904" spans="1:3">
      <c r="A1904" t="s">
        <v>272</v>
      </c>
      <c r="B1904">
        <v>7</v>
      </c>
      <c r="C1904">
        <v>0</v>
      </c>
    </row>
    <row r="1905" spans="1:3">
      <c r="A1905" t="s">
        <v>272</v>
      </c>
      <c r="B1905">
        <v>8</v>
      </c>
      <c r="C1905">
        <v>0</v>
      </c>
    </row>
    <row r="1906" spans="1:3">
      <c r="A1906" t="s">
        <v>272</v>
      </c>
      <c r="B1906">
        <v>9</v>
      </c>
      <c r="C1906">
        <v>0</v>
      </c>
    </row>
    <row r="1907" spans="1:3">
      <c r="A1907" t="s">
        <v>272</v>
      </c>
      <c r="B1907">
        <v>10</v>
      </c>
      <c r="C1907">
        <v>10</v>
      </c>
    </row>
    <row r="1908" spans="1:3">
      <c r="A1908" t="s">
        <v>272</v>
      </c>
      <c r="B1908">
        <v>11</v>
      </c>
      <c r="C1908">
        <v>15</v>
      </c>
    </row>
    <row r="1909" spans="1:3">
      <c r="A1909" t="s">
        <v>272</v>
      </c>
      <c r="B1909">
        <v>12</v>
      </c>
      <c r="C1909">
        <v>17</v>
      </c>
    </row>
    <row r="1910" spans="1:3">
      <c r="A1910" t="s">
        <v>272</v>
      </c>
      <c r="B1910">
        <v>13</v>
      </c>
      <c r="C1910">
        <v>15</v>
      </c>
    </row>
    <row r="1911" spans="1:3">
      <c r="A1911" t="s">
        <v>272</v>
      </c>
      <c r="B1911">
        <v>14</v>
      </c>
      <c r="C1911">
        <v>24</v>
      </c>
    </row>
    <row r="1912" spans="1:3">
      <c r="A1912" t="s">
        <v>272</v>
      </c>
      <c r="B1912">
        <v>15</v>
      </c>
      <c r="C1912">
        <v>21</v>
      </c>
    </row>
    <row r="1913" spans="1:3">
      <c r="A1913" t="s">
        <v>272</v>
      </c>
      <c r="B1913">
        <v>16</v>
      </c>
      <c r="C1913">
        <v>12</v>
      </c>
    </row>
    <row r="1914" spans="1:3">
      <c r="A1914" t="s">
        <v>272</v>
      </c>
      <c r="B1914">
        <v>17</v>
      </c>
      <c r="C1914">
        <v>15</v>
      </c>
    </row>
    <row r="1915" spans="1:3">
      <c r="A1915" t="s">
        <v>272</v>
      </c>
      <c r="B1915">
        <v>18</v>
      </c>
      <c r="C1915">
        <v>11</v>
      </c>
    </row>
    <row r="1916" spans="1:3">
      <c r="A1916" t="s">
        <v>272</v>
      </c>
      <c r="B1916">
        <v>19</v>
      </c>
      <c r="C1916">
        <v>9</v>
      </c>
    </row>
    <row r="1917" spans="1:3">
      <c r="A1917" t="s">
        <v>272</v>
      </c>
      <c r="B1917">
        <v>20</v>
      </c>
      <c r="C1917">
        <v>0</v>
      </c>
    </row>
    <row r="1918" spans="1:3">
      <c r="A1918" t="s">
        <v>272</v>
      </c>
      <c r="B1918">
        <v>21</v>
      </c>
      <c r="C1918">
        <v>0</v>
      </c>
    </row>
    <row r="1919" spans="1:3">
      <c r="A1919" t="s">
        <v>272</v>
      </c>
      <c r="B1919">
        <v>22</v>
      </c>
      <c r="C1919">
        <v>0</v>
      </c>
    </row>
    <row r="1920" spans="1:3">
      <c r="A1920" t="s">
        <v>272</v>
      </c>
      <c r="B1920">
        <v>23</v>
      </c>
      <c r="C1920">
        <v>0</v>
      </c>
    </row>
    <row r="1921" spans="1:3">
      <c r="A1921" t="s">
        <v>272</v>
      </c>
      <c r="B1921">
        <v>24</v>
      </c>
      <c r="C1921">
        <v>0</v>
      </c>
    </row>
    <row r="1922" spans="1:3">
      <c r="A1922" t="s">
        <v>189</v>
      </c>
      <c r="B1922">
        <v>1</v>
      </c>
      <c r="C1922">
        <v>0</v>
      </c>
    </row>
    <row r="1923" spans="1:3">
      <c r="A1923" t="s">
        <v>189</v>
      </c>
      <c r="B1923">
        <v>2</v>
      </c>
      <c r="C1923">
        <v>0</v>
      </c>
    </row>
    <row r="1924" spans="1:3">
      <c r="A1924" t="s">
        <v>189</v>
      </c>
      <c r="B1924">
        <v>3</v>
      </c>
      <c r="C1924">
        <v>0</v>
      </c>
    </row>
    <row r="1925" spans="1:3">
      <c r="A1925" t="s">
        <v>189</v>
      </c>
      <c r="B1925">
        <v>4</v>
      </c>
      <c r="C1925">
        <v>12</v>
      </c>
    </row>
    <row r="1926" spans="1:3">
      <c r="A1926" t="s">
        <v>189</v>
      </c>
      <c r="B1926">
        <v>5</v>
      </c>
      <c r="C1926">
        <v>34</v>
      </c>
    </row>
    <row r="1927" spans="1:3">
      <c r="A1927" t="s">
        <v>189</v>
      </c>
      <c r="B1927">
        <v>6</v>
      </c>
      <c r="C1927">
        <v>59</v>
      </c>
    </row>
    <row r="1928" spans="1:3">
      <c r="A1928" t="s">
        <v>189</v>
      </c>
      <c r="B1928">
        <v>7</v>
      </c>
      <c r="C1928">
        <v>67</v>
      </c>
    </row>
    <row r="1929" spans="1:3">
      <c r="A1929" t="s">
        <v>189</v>
      </c>
      <c r="B1929">
        <v>8</v>
      </c>
      <c r="C1929">
        <v>65</v>
      </c>
    </row>
    <row r="1930" spans="1:3">
      <c r="A1930" t="s">
        <v>189</v>
      </c>
      <c r="B1930">
        <v>9</v>
      </c>
      <c r="C1930">
        <v>74</v>
      </c>
    </row>
    <row r="1931" spans="1:3">
      <c r="A1931" t="s">
        <v>189</v>
      </c>
      <c r="B1931">
        <v>10</v>
      </c>
      <c r="C1931">
        <v>73</v>
      </c>
    </row>
    <row r="1932" spans="1:3">
      <c r="A1932" t="s">
        <v>189</v>
      </c>
      <c r="B1932">
        <v>11</v>
      </c>
      <c r="C1932">
        <v>81</v>
      </c>
    </row>
    <row r="1933" spans="1:3">
      <c r="A1933" t="s">
        <v>189</v>
      </c>
      <c r="B1933">
        <v>12</v>
      </c>
      <c r="C1933">
        <v>59</v>
      </c>
    </row>
    <row r="1934" spans="1:3">
      <c r="A1934" t="s">
        <v>189</v>
      </c>
      <c r="B1934">
        <v>13</v>
      </c>
      <c r="C1934">
        <v>84</v>
      </c>
    </row>
    <row r="1935" spans="1:3">
      <c r="A1935" t="s">
        <v>189</v>
      </c>
      <c r="B1935">
        <v>14</v>
      </c>
      <c r="C1935">
        <v>90</v>
      </c>
    </row>
    <row r="1936" spans="1:3">
      <c r="A1936" t="s">
        <v>189</v>
      </c>
      <c r="B1936">
        <v>15</v>
      </c>
      <c r="C1936">
        <v>86</v>
      </c>
    </row>
    <row r="1937" spans="1:3">
      <c r="A1937" t="s">
        <v>189</v>
      </c>
      <c r="B1937">
        <v>16</v>
      </c>
      <c r="C1937">
        <v>69</v>
      </c>
    </row>
    <row r="1938" spans="1:3">
      <c r="A1938" t="s">
        <v>189</v>
      </c>
      <c r="B1938">
        <v>17</v>
      </c>
      <c r="C1938">
        <v>64</v>
      </c>
    </row>
    <row r="1939" spans="1:3">
      <c r="A1939" t="s">
        <v>189</v>
      </c>
      <c r="B1939">
        <v>18</v>
      </c>
      <c r="C1939">
        <v>63</v>
      </c>
    </row>
    <row r="1940" spans="1:3">
      <c r="A1940" t="s">
        <v>189</v>
      </c>
      <c r="B1940">
        <v>19</v>
      </c>
      <c r="C1940">
        <v>61</v>
      </c>
    </row>
    <row r="1941" spans="1:3">
      <c r="A1941" t="s">
        <v>189</v>
      </c>
      <c r="B1941">
        <v>20</v>
      </c>
      <c r="C1941">
        <v>44</v>
      </c>
    </row>
    <row r="1942" spans="1:3">
      <c r="A1942" t="s">
        <v>189</v>
      </c>
      <c r="B1942">
        <v>21</v>
      </c>
      <c r="C1942">
        <v>36</v>
      </c>
    </row>
    <row r="1943" spans="1:3">
      <c r="A1943" t="s">
        <v>189</v>
      </c>
      <c r="B1943">
        <v>22</v>
      </c>
      <c r="C1943">
        <v>34</v>
      </c>
    </row>
    <row r="1944" spans="1:3">
      <c r="A1944" t="s">
        <v>189</v>
      </c>
      <c r="B1944">
        <v>23</v>
      </c>
      <c r="C1944">
        <v>26</v>
      </c>
    </row>
    <row r="1945" spans="1:3">
      <c r="A1945" t="s">
        <v>189</v>
      </c>
      <c r="B1945">
        <v>24</v>
      </c>
      <c r="C1945">
        <v>9</v>
      </c>
    </row>
    <row r="1946" spans="1:3">
      <c r="A1946" t="s">
        <v>251</v>
      </c>
      <c r="B1946">
        <v>1</v>
      </c>
      <c r="C1946">
        <v>10</v>
      </c>
    </row>
    <row r="1947" spans="1:3">
      <c r="A1947" t="s">
        <v>251</v>
      </c>
      <c r="B1947">
        <v>2</v>
      </c>
      <c r="C1947">
        <v>4</v>
      </c>
    </row>
    <row r="1948" spans="1:3">
      <c r="A1948" t="s">
        <v>251</v>
      </c>
      <c r="B1948">
        <v>3</v>
      </c>
      <c r="C1948">
        <v>0</v>
      </c>
    </row>
    <row r="1949" spans="1:3">
      <c r="A1949" t="s">
        <v>251</v>
      </c>
      <c r="B1949">
        <v>4</v>
      </c>
      <c r="C1949">
        <v>0</v>
      </c>
    </row>
    <row r="1950" spans="1:3">
      <c r="A1950" t="s">
        <v>251</v>
      </c>
      <c r="B1950">
        <v>5</v>
      </c>
      <c r="C1950">
        <v>7</v>
      </c>
    </row>
    <row r="1951" spans="1:3">
      <c r="A1951" t="s">
        <v>251</v>
      </c>
      <c r="B1951">
        <v>6</v>
      </c>
      <c r="C1951">
        <v>19</v>
      </c>
    </row>
    <row r="1952" spans="1:3">
      <c r="A1952" t="s">
        <v>251</v>
      </c>
      <c r="B1952">
        <v>7</v>
      </c>
      <c r="C1952">
        <v>27</v>
      </c>
    </row>
    <row r="1953" spans="1:3">
      <c r="A1953" t="s">
        <v>251</v>
      </c>
      <c r="B1953">
        <v>8</v>
      </c>
      <c r="C1953">
        <v>17</v>
      </c>
    </row>
    <row r="1954" spans="1:3">
      <c r="A1954" t="s">
        <v>251</v>
      </c>
      <c r="B1954">
        <v>9</v>
      </c>
      <c r="C1954">
        <v>23</v>
      </c>
    </row>
    <row r="1955" spans="1:3">
      <c r="A1955" t="s">
        <v>251</v>
      </c>
      <c r="B1955">
        <v>10</v>
      </c>
      <c r="C1955">
        <v>23</v>
      </c>
    </row>
    <row r="1956" spans="1:3">
      <c r="A1956" t="s">
        <v>251</v>
      </c>
      <c r="B1956">
        <v>11</v>
      </c>
      <c r="C1956">
        <v>19</v>
      </c>
    </row>
    <row r="1957" spans="1:3">
      <c r="A1957" t="s">
        <v>251</v>
      </c>
      <c r="B1957">
        <v>12</v>
      </c>
      <c r="C1957">
        <v>25</v>
      </c>
    </row>
    <row r="1958" spans="1:3">
      <c r="A1958" t="s">
        <v>251</v>
      </c>
      <c r="B1958">
        <v>13</v>
      </c>
      <c r="C1958">
        <v>28</v>
      </c>
    </row>
    <row r="1959" spans="1:3">
      <c r="A1959" t="s">
        <v>251</v>
      </c>
      <c r="B1959">
        <v>14</v>
      </c>
      <c r="C1959">
        <v>26</v>
      </c>
    </row>
    <row r="1960" spans="1:3">
      <c r="A1960" t="s">
        <v>251</v>
      </c>
      <c r="B1960">
        <v>15</v>
      </c>
      <c r="C1960">
        <v>44</v>
      </c>
    </row>
    <row r="1961" spans="1:3">
      <c r="A1961" t="s">
        <v>251</v>
      </c>
      <c r="B1961">
        <v>16</v>
      </c>
      <c r="C1961">
        <v>30</v>
      </c>
    </row>
    <row r="1962" spans="1:3">
      <c r="A1962" t="s">
        <v>251</v>
      </c>
      <c r="B1962">
        <v>17</v>
      </c>
      <c r="C1962">
        <v>33</v>
      </c>
    </row>
    <row r="1963" spans="1:3">
      <c r="A1963" t="s">
        <v>251</v>
      </c>
      <c r="B1963">
        <v>18</v>
      </c>
      <c r="C1963">
        <v>36</v>
      </c>
    </row>
    <row r="1964" spans="1:3">
      <c r="A1964" t="s">
        <v>251</v>
      </c>
      <c r="B1964">
        <v>19</v>
      </c>
      <c r="C1964">
        <v>37</v>
      </c>
    </row>
    <row r="1965" spans="1:3">
      <c r="A1965" t="s">
        <v>251</v>
      </c>
      <c r="B1965">
        <v>20</v>
      </c>
      <c r="C1965">
        <v>18</v>
      </c>
    </row>
    <row r="1966" spans="1:3">
      <c r="A1966" t="s">
        <v>251</v>
      </c>
      <c r="B1966">
        <v>21</v>
      </c>
      <c r="C1966">
        <v>29</v>
      </c>
    </row>
    <row r="1967" spans="1:3">
      <c r="A1967" t="s">
        <v>251</v>
      </c>
      <c r="B1967">
        <v>22</v>
      </c>
      <c r="C1967">
        <v>11</v>
      </c>
    </row>
    <row r="1968" spans="1:3">
      <c r="A1968" t="s">
        <v>251</v>
      </c>
      <c r="B1968">
        <v>23</v>
      </c>
      <c r="C1968">
        <v>11</v>
      </c>
    </row>
    <row r="1969" spans="1:3">
      <c r="A1969" t="s">
        <v>251</v>
      </c>
      <c r="B1969">
        <v>24</v>
      </c>
      <c r="C1969">
        <v>21</v>
      </c>
    </row>
    <row r="1970" spans="1:3">
      <c r="A1970" t="s">
        <v>265</v>
      </c>
      <c r="B1970">
        <v>1</v>
      </c>
      <c r="C1970">
        <v>0</v>
      </c>
    </row>
    <row r="1971" spans="1:3">
      <c r="A1971" t="s">
        <v>265</v>
      </c>
      <c r="B1971">
        <v>2</v>
      </c>
      <c r="C1971">
        <v>0</v>
      </c>
    </row>
    <row r="1972" spans="1:3">
      <c r="A1972" t="s">
        <v>265</v>
      </c>
      <c r="B1972">
        <v>3</v>
      </c>
      <c r="C1972">
        <v>0</v>
      </c>
    </row>
    <row r="1973" spans="1:3">
      <c r="A1973" t="s">
        <v>265</v>
      </c>
      <c r="B1973">
        <v>4</v>
      </c>
      <c r="C1973">
        <v>0</v>
      </c>
    </row>
    <row r="1974" spans="1:3">
      <c r="A1974" t="s">
        <v>265</v>
      </c>
      <c r="B1974">
        <v>5</v>
      </c>
      <c r="C1974">
        <v>6</v>
      </c>
    </row>
    <row r="1975" spans="1:3">
      <c r="A1975" t="s">
        <v>265</v>
      </c>
      <c r="B1975">
        <v>6</v>
      </c>
      <c r="C1975">
        <v>16</v>
      </c>
    </row>
    <row r="1976" spans="1:3">
      <c r="A1976" t="s">
        <v>265</v>
      </c>
      <c r="B1976">
        <v>7</v>
      </c>
      <c r="C1976">
        <v>22</v>
      </c>
    </row>
    <row r="1977" spans="1:3">
      <c r="A1977" t="s">
        <v>265</v>
      </c>
      <c r="B1977">
        <v>8</v>
      </c>
      <c r="C1977">
        <v>29</v>
      </c>
    </row>
    <row r="1978" spans="1:3">
      <c r="A1978" t="s">
        <v>265</v>
      </c>
      <c r="B1978">
        <v>9</v>
      </c>
      <c r="C1978">
        <v>28</v>
      </c>
    </row>
    <row r="1979" spans="1:3">
      <c r="A1979" t="s">
        <v>265</v>
      </c>
      <c r="B1979">
        <v>10</v>
      </c>
      <c r="C1979">
        <v>27</v>
      </c>
    </row>
    <row r="1980" spans="1:3">
      <c r="A1980" t="s">
        <v>265</v>
      </c>
      <c r="B1980">
        <v>11</v>
      </c>
      <c r="C1980">
        <v>27</v>
      </c>
    </row>
    <row r="1981" spans="1:3">
      <c r="A1981" t="s">
        <v>265</v>
      </c>
      <c r="B1981">
        <v>12</v>
      </c>
      <c r="C1981">
        <v>25</v>
      </c>
    </row>
    <row r="1982" spans="1:3">
      <c r="A1982" t="s">
        <v>265</v>
      </c>
      <c r="B1982">
        <v>13</v>
      </c>
      <c r="C1982">
        <v>26</v>
      </c>
    </row>
    <row r="1983" spans="1:3">
      <c r="A1983" t="s">
        <v>265</v>
      </c>
      <c r="B1983">
        <v>14</v>
      </c>
      <c r="C1983">
        <v>32</v>
      </c>
    </row>
    <row r="1984" spans="1:3">
      <c r="A1984" t="s">
        <v>265</v>
      </c>
      <c r="B1984">
        <v>15</v>
      </c>
      <c r="C1984">
        <v>30</v>
      </c>
    </row>
    <row r="1985" spans="1:3">
      <c r="A1985" t="s">
        <v>265</v>
      </c>
      <c r="B1985">
        <v>16</v>
      </c>
      <c r="C1985">
        <v>26</v>
      </c>
    </row>
    <row r="1986" spans="1:3">
      <c r="A1986" t="s">
        <v>265</v>
      </c>
      <c r="B1986">
        <v>17</v>
      </c>
      <c r="C1986">
        <v>28</v>
      </c>
    </row>
    <row r="1987" spans="1:3">
      <c r="A1987" t="s">
        <v>265</v>
      </c>
      <c r="B1987">
        <v>18</v>
      </c>
      <c r="C1987">
        <v>33</v>
      </c>
    </row>
    <row r="1988" spans="1:3">
      <c r="A1988" t="s">
        <v>265</v>
      </c>
      <c r="B1988">
        <v>19</v>
      </c>
      <c r="C1988">
        <v>30</v>
      </c>
    </row>
    <row r="1989" spans="1:3">
      <c r="A1989" t="s">
        <v>265</v>
      </c>
      <c r="B1989">
        <v>20</v>
      </c>
      <c r="C1989">
        <v>30</v>
      </c>
    </row>
    <row r="1990" spans="1:3">
      <c r="A1990" t="s">
        <v>265</v>
      </c>
      <c r="B1990">
        <v>21</v>
      </c>
      <c r="C1990">
        <v>25</v>
      </c>
    </row>
    <row r="1991" spans="1:3">
      <c r="A1991" t="s">
        <v>265</v>
      </c>
      <c r="B1991">
        <v>22</v>
      </c>
      <c r="C1991">
        <v>24</v>
      </c>
    </row>
    <row r="1992" spans="1:3">
      <c r="A1992" t="s">
        <v>265</v>
      </c>
      <c r="B1992">
        <v>23</v>
      </c>
      <c r="C1992">
        <v>17</v>
      </c>
    </row>
    <row r="1993" spans="1:3">
      <c r="A1993" t="s">
        <v>265</v>
      </c>
      <c r="B1993">
        <v>24</v>
      </c>
      <c r="C1993">
        <v>10</v>
      </c>
    </row>
    <row r="1994" spans="1:3">
      <c r="A1994" t="s">
        <v>271</v>
      </c>
      <c r="B1994">
        <v>1</v>
      </c>
      <c r="C1994">
        <v>3</v>
      </c>
    </row>
    <row r="1995" spans="1:3">
      <c r="A1995" t="s">
        <v>271</v>
      </c>
      <c r="B1995">
        <v>2</v>
      </c>
      <c r="C1995">
        <v>0</v>
      </c>
    </row>
    <row r="1996" spans="1:3">
      <c r="A1996" t="s">
        <v>271</v>
      </c>
      <c r="B1996">
        <v>3</v>
      </c>
      <c r="C1996">
        <v>0</v>
      </c>
    </row>
    <row r="1997" spans="1:3">
      <c r="A1997" t="s">
        <v>271</v>
      </c>
      <c r="B1997">
        <v>4</v>
      </c>
      <c r="C1997">
        <v>18</v>
      </c>
    </row>
    <row r="1998" spans="1:3">
      <c r="A1998" t="s">
        <v>271</v>
      </c>
      <c r="B1998">
        <v>5</v>
      </c>
      <c r="C1998">
        <v>12</v>
      </c>
    </row>
    <row r="1999" spans="1:3">
      <c r="A1999" t="s">
        <v>271</v>
      </c>
      <c r="B1999">
        <v>6</v>
      </c>
      <c r="C1999">
        <v>12</v>
      </c>
    </row>
    <row r="2000" spans="1:3">
      <c r="A2000" t="s">
        <v>271</v>
      </c>
      <c r="B2000">
        <v>7</v>
      </c>
      <c r="C2000">
        <v>13</v>
      </c>
    </row>
    <row r="2001" spans="1:3">
      <c r="A2001" t="s">
        <v>271</v>
      </c>
      <c r="B2001">
        <v>8</v>
      </c>
      <c r="C2001">
        <v>15</v>
      </c>
    </row>
    <row r="2002" spans="1:3">
      <c r="A2002" t="s">
        <v>271</v>
      </c>
      <c r="B2002">
        <v>9</v>
      </c>
      <c r="C2002">
        <v>17</v>
      </c>
    </row>
    <row r="2003" spans="1:3">
      <c r="A2003" t="s">
        <v>271</v>
      </c>
      <c r="B2003">
        <v>10</v>
      </c>
      <c r="C2003">
        <v>26</v>
      </c>
    </row>
    <row r="2004" spans="1:3">
      <c r="A2004" t="s">
        <v>271</v>
      </c>
      <c r="B2004">
        <v>11</v>
      </c>
      <c r="C2004">
        <v>16</v>
      </c>
    </row>
    <row r="2005" spans="1:3">
      <c r="A2005" t="s">
        <v>271</v>
      </c>
      <c r="B2005">
        <v>12</v>
      </c>
      <c r="C2005">
        <v>19</v>
      </c>
    </row>
    <row r="2006" spans="1:3">
      <c r="A2006" t="s">
        <v>271</v>
      </c>
      <c r="B2006">
        <v>13</v>
      </c>
      <c r="C2006">
        <v>14</v>
      </c>
    </row>
    <row r="2007" spans="1:3">
      <c r="A2007" t="s">
        <v>271</v>
      </c>
      <c r="B2007">
        <v>14</v>
      </c>
      <c r="C2007">
        <v>12</v>
      </c>
    </row>
    <row r="2008" spans="1:3">
      <c r="A2008" t="s">
        <v>271</v>
      </c>
      <c r="B2008">
        <v>15</v>
      </c>
      <c r="C2008">
        <v>17</v>
      </c>
    </row>
    <row r="2009" spans="1:3">
      <c r="A2009" t="s">
        <v>271</v>
      </c>
      <c r="B2009">
        <v>16</v>
      </c>
      <c r="C2009">
        <v>12</v>
      </c>
    </row>
    <row r="2010" spans="1:3">
      <c r="A2010" t="s">
        <v>271</v>
      </c>
      <c r="B2010">
        <v>17</v>
      </c>
      <c r="C2010">
        <v>17</v>
      </c>
    </row>
    <row r="2011" spans="1:3">
      <c r="A2011" t="s">
        <v>271</v>
      </c>
      <c r="B2011">
        <v>18</v>
      </c>
      <c r="C2011">
        <v>25</v>
      </c>
    </row>
    <row r="2012" spans="1:3">
      <c r="A2012" t="s">
        <v>271</v>
      </c>
      <c r="B2012">
        <v>19</v>
      </c>
      <c r="C2012">
        <v>14</v>
      </c>
    </row>
    <row r="2013" spans="1:3">
      <c r="A2013" t="s">
        <v>271</v>
      </c>
      <c r="B2013">
        <v>20</v>
      </c>
      <c r="C2013">
        <v>14</v>
      </c>
    </row>
    <row r="2014" spans="1:3">
      <c r="A2014" t="s">
        <v>271</v>
      </c>
      <c r="B2014">
        <v>21</v>
      </c>
      <c r="C2014">
        <v>17</v>
      </c>
    </row>
    <row r="2015" spans="1:3">
      <c r="A2015" t="s">
        <v>271</v>
      </c>
      <c r="B2015">
        <v>22</v>
      </c>
      <c r="C2015">
        <v>10</v>
      </c>
    </row>
    <row r="2016" spans="1:3">
      <c r="A2016" t="s">
        <v>271</v>
      </c>
      <c r="B2016">
        <v>23</v>
      </c>
      <c r="C2016">
        <v>6</v>
      </c>
    </row>
    <row r="2017" spans="1:3">
      <c r="A2017" t="s">
        <v>271</v>
      </c>
      <c r="B2017">
        <v>24</v>
      </c>
      <c r="C2017">
        <v>2</v>
      </c>
    </row>
    <row r="2018" spans="1:3">
      <c r="A2018" t="s">
        <v>166</v>
      </c>
      <c r="B2018">
        <v>1</v>
      </c>
      <c r="C2018">
        <v>0</v>
      </c>
    </row>
    <row r="2019" spans="1:3">
      <c r="A2019" t="s">
        <v>166</v>
      </c>
      <c r="B2019">
        <v>2</v>
      </c>
      <c r="C2019">
        <v>0</v>
      </c>
    </row>
    <row r="2020" spans="1:3">
      <c r="A2020" t="s">
        <v>166</v>
      </c>
      <c r="B2020">
        <v>3</v>
      </c>
      <c r="C2020">
        <v>0</v>
      </c>
    </row>
    <row r="2021" spans="1:3">
      <c r="A2021" t="s">
        <v>166</v>
      </c>
      <c r="B2021">
        <v>4</v>
      </c>
      <c r="C2021">
        <v>20</v>
      </c>
    </row>
    <row r="2022" spans="1:3">
      <c r="A2022" t="s">
        <v>166</v>
      </c>
      <c r="B2022">
        <v>5</v>
      </c>
      <c r="C2022">
        <v>80</v>
      </c>
    </row>
    <row r="2023" spans="1:3">
      <c r="A2023" t="s">
        <v>166</v>
      </c>
      <c r="B2023">
        <v>6</v>
      </c>
      <c r="C2023">
        <v>89</v>
      </c>
    </row>
    <row r="2024" spans="1:3">
      <c r="A2024" t="s">
        <v>166</v>
      </c>
      <c r="B2024">
        <v>7</v>
      </c>
      <c r="C2024">
        <v>128</v>
      </c>
    </row>
    <row r="2025" spans="1:3">
      <c r="A2025" t="s">
        <v>166</v>
      </c>
      <c r="B2025">
        <v>8</v>
      </c>
      <c r="C2025">
        <v>126</v>
      </c>
    </row>
    <row r="2026" spans="1:3">
      <c r="A2026" t="s">
        <v>166</v>
      </c>
      <c r="B2026">
        <v>9</v>
      </c>
      <c r="C2026">
        <v>126</v>
      </c>
    </row>
    <row r="2027" spans="1:3">
      <c r="A2027" t="s">
        <v>166</v>
      </c>
      <c r="B2027">
        <v>10</v>
      </c>
      <c r="C2027">
        <v>117</v>
      </c>
    </row>
    <row r="2028" spans="1:3">
      <c r="A2028" t="s">
        <v>166</v>
      </c>
      <c r="B2028">
        <v>11</v>
      </c>
      <c r="C2028">
        <v>116</v>
      </c>
    </row>
    <row r="2029" spans="1:3">
      <c r="A2029" t="s">
        <v>166</v>
      </c>
      <c r="B2029">
        <v>12</v>
      </c>
      <c r="C2029">
        <v>107</v>
      </c>
    </row>
    <row r="2030" spans="1:3">
      <c r="A2030" t="s">
        <v>166</v>
      </c>
      <c r="B2030">
        <v>13</v>
      </c>
      <c r="C2030">
        <v>112</v>
      </c>
    </row>
    <row r="2031" spans="1:3">
      <c r="A2031" t="s">
        <v>166</v>
      </c>
      <c r="B2031">
        <v>14</v>
      </c>
      <c r="C2031">
        <v>134</v>
      </c>
    </row>
    <row r="2032" spans="1:3">
      <c r="A2032" t="s">
        <v>166</v>
      </c>
      <c r="B2032">
        <v>15</v>
      </c>
      <c r="C2032">
        <v>118</v>
      </c>
    </row>
    <row r="2033" spans="1:3">
      <c r="A2033" t="s">
        <v>166</v>
      </c>
      <c r="B2033">
        <v>16</v>
      </c>
      <c r="C2033">
        <v>114</v>
      </c>
    </row>
    <row r="2034" spans="1:3">
      <c r="A2034" t="s">
        <v>166</v>
      </c>
      <c r="B2034">
        <v>17</v>
      </c>
      <c r="C2034">
        <v>122</v>
      </c>
    </row>
    <row r="2035" spans="1:3">
      <c r="A2035" t="s">
        <v>166</v>
      </c>
      <c r="B2035">
        <v>18</v>
      </c>
      <c r="C2035">
        <v>121</v>
      </c>
    </row>
    <row r="2036" spans="1:3">
      <c r="A2036" t="s">
        <v>166</v>
      </c>
      <c r="B2036">
        <v>19</v>
      </c>
      <c r="C2036">
        <v>138</v>
      </c>
    </row>
    <row r="2037" spans="1:3">
      <c r="A2037" t="s">
        <v>166</v>
      </c>
      <c r="B2037">
        <v>20</v>
      </c>
      <c r="C2037">
        <v>106</v>
      </c>
    </row>
    <row r="2038" spans="1:3">
      <c r="A2038" t="s">
        <v>166</v>
      </c>
      <c r="B2038">
        <v>21</v>
      </c>
      <c r="C2038">
        <v>103</v>
      </c>
    </row>
    <row r="2039" spans="1:3">
      <c r="A2039" t="s">
        <v>166</v>
      </c>
      <c r="B2039">
        <v>22</v>
      </c>
      <c r="C2039">
        <v>102</v>
      </c>
    </row>
    <row r="2040" spans="1:3">
      <c r="A2040" t="s">
        <v>166</v>
      </c>
      <c r="B2040">
        <v>23</v>
      </c>
      <c r="C2040">
        <v>125</v>
      </c>
    </row>
    <row r="2041" spans="1:3">
      <c r="A2041" t="s">
        <v>166</v>
      </c>
      <c r="B2041">
        <v>24</v>
      </c>
      <c r="C2041">
        <v>89</v>
      </c>
    </row>
    <row r="2042" spans="1:3">
      <c r="A2042" t="s">
        <v>171</v>
      </c>
      <c r="B2042">
        <v>1</v>
      </c>
      <c r="C2042">
        <v>0</v>
      </c>
    </row>
    <row r="2043" spans="1:3">
      <c r="A2043" t="s">
        <v>171</v>
      </c>
      <c r="B2043">
        <v>2</v>
      </c>
      <c r="C2043">
        <v>0</v>
      </c>
    </row>
    <row r="2044" spans="1:3">
      <c r="A2044" t="s">
        <v>171</v>
      </c>
      <c r="B2044">
        <v>3</v>
      </c>
      <c r="C2044">
        <v>0</v>
      </c>
    </row>
    <row r="2045" spans="1:3">
      <c r="A2045" t="s">
        <v>171</v>
      </c>
      <c r="B2045">
        <v>4</v>
      </c>
      <c r="C2045">
        <v>22</v>
      </c>
    </row>
    <row r="2046" spans="1:3">
      <c r="A2046" t="s">
        <v>171</v>
      </c>
      <c r="B2046">
        <v>5</v>
      </c>
      <c r="C2046">
        <v>79</v>
      </c>
    </row>
    <row r="2047" spans="1:3">
      <c r="A2047" t="s">
        <v>171</v>
      </c>
      <c r="B2047">
        <v>6</v>
      </c>
      <c r="C2047">
        <v>116</v>
      </c>
    </row>
    <row r="2048" spans="1:3">
      <c r="A2048" t="s">
        <v>171</v>
      </c>
      <c r="B2048">
        <v>7</v>
      </c>
      <c r="C2048">
        <v>122</v>
      </c>
    </row>
    <row r="2049" spans="1:3">
      <c r="A2049" t="s">
        <v>171</v>
      </c>
      <c r="B2049">
        <v>8</v>
      </c>
      <c r="C2049">
        <v>129</v>
      </c>
    </row>
    <row r="2050" spans="1:3">
      <c r="A2050" t="s">
        <v>171</v>
      </c>
      <c r="B2050">
        <v>9</v>
      </c>
      <c r="C2050">
        <v>111</v>
      </c>
    </row>
    <row r="2051" spans="1:3">
      <c r="A2051" t="s">
        <v>171</v>
      </c>
      <c r="B2051">
        <v>10</v>
      </c>
      <c r="C2051">
        <v>114</v>
      </c>
    </row>
    <row r="2052" spans="1:3">
      <c r="A2052" t="s">
        <v>171</v>
      </c>
      <c r="B2052">
        <v>11</v>
      </c>
      <c r="C2052">
        <v>116</v>
      </c>
    </row>
    <row r="2053" spans="1:3">
      <c r="A2053" t="s">
        <v>171</v>
      </c>
      <c r="B2053">
        <v>12</v>
      </c>
      <c r="C2053">
        <v>106</v>
      </c>
    </row>
    <row r="2054" spans="1:3">
      <c r="A2054" t="s">
        <v>171</v>
      </c>
      <c r="B2054">
        <v>13</v>
      </c>
      <c r="C2054">
        <v>110</v>
      </c>
    </row>
    <row r="2055" spans="1:3">
      <c r="A2055" t="s">
        <v>171</v>
      </c>
      <c r="B2055">
        <v>14</v>
      </c>
      <c r="C2055">
        <v>110</v>
      </c>
    </row>
    <row r="2056" spans="1:3">
      <c r="A2056" t="s">
        <v>171</v>
      </c>
      <c r="B2056">
        <v>15</v>
      </c>
      <c r="C2056">
        <v>120</v>
      </c>
    </row>
    <row r="2057" spans="1:3">
      <c r="A2057" t="s">
        <v>171</v>
      </c>
      <c r="B2057">
        <v>16</v>
      </c>
      <c r="C2057">
        <v>110</v>
      </c>
    </row>
    <row r="2058" spans="1:3">
      <c r="A2058" t="s">
        <v>171</v>
      </c>
      <c r="B2058">
        <v>17</v>
      </c>
      <c r="C2058">
        <v>109</v>
      </c>
    </row>
    <row r="2059" spans="1:3">
      <c r="A2059" t="s">
        <v>171</v>
      </c>
      <c r="B2059">
        <v>18</v>
      </c>
      <c r="C2059">
        <v>124</v>
      </c>
    </row>
    <row r="2060" spans="1:3">
      <c r="A2060" t="s">
        <v>171</v>
      </c>
      <c r="B2060">
        <v>19</v>
      </c>
      <c r="C2060">
        <v>129</v>
      </c>
    </row>
    <row r="2061" spans="1:3">
      <c r="A2061" t="s">
        <v>171</v>
      </c>
      <c r="B2061">
        <v>20</v>
      </c>
      <c r="C2061">
        <v>107</v>
      </c>
    </row>
    <row r="2062" spans="1:3">
      <c r="A2062" t="s">
        <v>171</v>
      </c>
      <c r="B2062">
        <v>21</v>
      </c>
      <c r="C2062">
        <v>122</v>
      </c>
    </row>
    <row r="2063" spans="1:3">
      <c r="A2063" t="s">
        <v>171</v>
      </c>
      <c r="B2063">
        <v>22</v>
      </c>
      <c r="C2063">
        <v>127</v>
      </c>
    </row>
    <row r="2064" spans="1:3">
      <c r="A2064" t="s">
        <v>171</v>
      </c>
      <c r="B2064">
        <v>23</v>
      </c>
      <c r="C2064">
        <v>120</v>
      </c>
    </row>
    <row r="2065" spans="1:3">
      <c r="A2065" t="s">
        <v>171</v>
      </c>
      <c r="B2065">
        <v>24</v>
      </c>
      <c r="C2065">
        <v>48</v>
      </c>
    </row>
    <row r="2066" spans="1:3">
      <c r="A2066" t="s">
        <v>164</v>
      </c>
      <c r="B2066">
        <v>1</v>
      </c>
      <c r="C2066">
        <v>1</v>
      </c>
    </row>
    <row r="2067" spans="1:3">
      <c r="A2067" t="s">
        <v>164</v>
      </c>
      <c r="B2067">
        <v>2</v>
      </c>
      <c r="C2067">
        <v>0</v>
      </c>
    </row>
    <row r="2068" spans="1:3">
      <c r="A2068" t="s">
        <v>164</v>
      </c>
      <c r="B2068">
        <v>3</v>
      </c>
      <c r="C2068">
        <v>0</v>
      </c>
    </row>
    <row r="2069" spans="1:3">
      <c r="A2069" t="s">
        <v>164</v>
      </c>
      <c r="B2069">
        <v>4</v>
      </c>
      <c r="C2069">
        <v>39</v>
      </c>
    </row>
    <row r="2070" spans="1:3">
      <c r="A2070" t="s">
        <v>164</v>
      </c>
      <c r="B2070">
        <v>5</v>
      </c>
      <c r="C2070">
        <v>78</v>
      </c>
    </row>
    <row r="2071" spans="1:3">
      <c r="A2071" t="s">
        <v>164</v>
      </c>
      <c r="B2071">
        <v>6</v>
      </c>
      <c r="C2071">
        <v>116</v>
      </c>
    </row>
    <row r="2072" spans="1:3">
      <c r="A2072" t="s">
        <v>164</v>
      </c>
      <c r="B2072">
        <v>7</v>
      </c>
      <c r="C2072">
        <v>129</v>
      </c>
    </row>
    <row r="2073" spans="1:3">
      <c r="A2073" t="s">
        <v>164</v>
      </c>
      <c r="B2073">
        <v>8</v>
      </c>
      <c r="C2073">
        <v>126</v>
      </c>
    </row>
    <row r="2074" spans="1:3">
      <c r="A2074" t="s">
        <v>164</v>
      </c>
      <c r="B2074">
        <v>9</v>
      </c>
      <c r="C2074">
        <v>129</v>
      </c>
    </row>
    <row r="2075" spans="1:3">
      <c r="A2075" t="s">
        <v>164</v>
      </c>
      <c r="B2075">
        <v>10</v>
      </c>
      <c r="C2075">
        <v>105</v>
      </c>
    </row>
    <row r="2076" spans="1:3">
      <c r="A2076" t="s">
        <v>164</v>
      </c>
      <c r="B2076">
        <v>11</v>
      </c>
      <c r="C2076">
        <v>119</v>
      </c>
    </row>
    <row r="2077" spans="1:3">
      <c r="A2077" t="s">
        <v>164</v>
      </c>
      <c r="B2077">
        <v>12</v>
      </c>
      <c r="C2077">
        <v>105</v>
      </c>
    </row>
    <row r="2078" spans="1:3">
      <c r="A2078" t="s">
        <v>164</v>
      </c>
      <c r="B2078">
        <v>13</v>
      </c>
      <c r="C2078">
        <v>127</v>
      </c>
    </row>
    <row r="2079" spans="1:3">
      <c r="A2079" t="s">
        <v>164</v>
      </c>
      <c r="B2079">
        <v>14</v>
      </c>
      <c r="C2079">
        <v>128</v>
      </c>
    </row>
    <row r="2080" spans="1:3">
      <c r="A2080" t="s">
        <v>164</v>
      </c>
      <c r="B2080">
        <v>15</v>
      </c>
      <c r="C2080">
        <v>122</v>
      </c>
    </row>
    <row r="2081" spans="1:3">
      <c r="A2081" t="s">
        <v>164</v>
      </c>
      <c r="B2081">
        <v>16</v>
      </c>
      <c r="C2081">
        <v>134</v>
      </c>
    </row>
    <row r="2082" spans="1:3">
      <c r="A2082" t="s">
        <v>164</v>
      </c>
      <c r="B2082">
        <v>17</v>
      </c>
      <c r="C2082">
        <v>131</v>
      </c>
    </row>
    <row r="2083" spans="1:3">
      <c r="A2083" t="s">
        <v>164</v>
      </c>
      <c r="B2083">
        <v>18</v>
      </c>
      <c r="C2083">
        <v>124</v>
      </c>
    </row>
    <row r="2084" spans="1:3">
      <c r="A2084" t="s">
        <v>164</v>
      </c>
      <c r="B2084">
        <v>19</v>
      </c>
      <c r="C2084">
        <v>272</v>
      </c>
    </row>
    <row r="2085" spans="1:3">
      <c r="A2085" t="s">
        <v>164</v>
      </c>
      <c r="B2085">
        <v>20</v>
      </c>
      <c r="C2085">
        <v>209</v>
      </c>
    </row>
    <row r="2086" spans="1:3">
      <c r="A2086" t="s">
        <v>164</v>
      </c>
      <c r="B2086">
        <v>21</v>
      </c>
      <c r="C2086">
        <v>111</v>
      </c>
    </row>
    <row r="2087" spans="1:3">
      <c r="A2087" t="s">
        <v>164</v>
      </c>
      <c r="B2087">
        <v>22</v>
      </c>
      <c r="C2087">
        <v>102</v>
      </c>
    </row>
    <row r="2088" spans="1:3">
      <c r="A2088" t="s">
        <v>164</v>
      </c>
      <c r="B2088">
        <v>23</v>
      </c>
      <c r="C2088">
        <v>136</v>
      </c>
    </row>
    <row r="2089" spans="1:3">
      <c r="A2089" t="s">
        <v>164</v>
      </c>
      <c r="B2089">
        <v>24</v>
      </c>
      <c r="C2089">
        <v>124</v>
      </c>
    </row>
    <row r="2090" spans="1:3">
      <c r="A2090" t="s">
        <v>211</v>
      </c>
      <c r="B2090">
        <v>1</v>
      </c>
      <c r="C2090">
        <v>0</v>
      </c>
    </row>
    <row r="2091" spans="1:3">
      <c r="A2091" t="s">
        <v>211</v>
      </c>
      <c r="B2091">
        <v>2</v>
      </c>
      <c r="C2091">
        <v>0</v>
      </c>
    </row>
    <row r="2092" spans="1:3">
      <c r="A2092" t="s">
        <v>211</v>
      </c>
      <c r="B2092">
        <v>3</v>
      </c>
      <c r="C2092">
        <v>0</v>
      </c>
    </row>
    <row r="2093" spans="1:3">
      <c r="A2093" t="s">
        <v>211</v>
      </c>
      <c r="B2093">
        <v>4</v>
      </c>
      <c r="C2093">
        <v>12</v>
      </c>
    </row>
    <row r="2094" spans="1:3">
      <c r="A2094" t="s">
        <v>211</v>
      </c>
      <c r="B2094">
        <v>5</v>
      </c>
      <c r="C2094">
        <v>17</v>
      </c>
    </row>
    <row r="2095" spans="1:3">
      <c r="A2095" t="s">
        <v>211</v>
      </c>
      <c r="B2095">
        <v>6</v>
      </c>
      <c r="C2095">
        <v>16</v>
      </c>
    </row>
    <row r="2096" spans="1:3">
      <c r="A2096" t="s">
        <v>211</v>
      </c>
      <c r="B2096">
        <v>7</v>
      </c>
      <c r="C2096">
        <v>78</v>
      </c>
    </row>
    <row r="2097" spans="1:3">
      <c r="A2097" t="s">
        <v>211</v>
      </c>
      <c r="B2097">
        <v>8</v>
      </c>
      <c r="C2097">
        <v>7</v>
      </c>
    </row>
    <row r="2098" spans="1:3">
      <c r="A2098" t="s">
        <v>211</v>
      </c>
      <c r="B2098">
        <v>9</v>
      </c>
      <c r="C2098">
        <v>4</v>
      </c>
    </row>
    <row r="2099" spans="1:3">
      <c r="A2099" t="s">
        <v>211</v>
      </c>
      <c r="B2099">
        <v>10</v>
      </c>
      <c r="C2099">
        <v>11</v>
      </c>
    </row>
    <row r="2100" spans="1:3">
      <c r="A2100" t="s">
        <v>211</v>
      </c>
      <c r="B2100">
        <v>11</v>
      </c>
      <c r="C2100">
        <v>0</v>
      </c>
    </row>
    <row r="2101" spans="1:3">
      <c r="A2101" t="s">
        <v>211</v>
      </c>
      <c r="B2101">
        <v>12</v>
      </c>
      <c r="C2101">
        <v>0</v>
      </c>
    </row>
    <row r="2102" spans="1:3">
      <c r="A2102" t="s">
        <v>211</v>
      </c>
      <c r="B2102">
        <v>13</v>
      </c>
      <c r="C2102">
        <v>0</v>
      </c>
    </row>
    <row r="2103" spans="1:3">
      <c r="A2103" t="s">
        <v>211</v>
      </c>
      <c r="B2103">
        <v>14</v>
      </c>
      <c r="C2103">
        <v>0</v>
      </c>
    </row>
    <row r="2104" spans="1:3">
      <c r="A2104" t="s">
        <v>211</v>
      </c>
      <c r="B2104">
        <v>15</v>
      </c>
      <c r="C2104">
        <v>0</v>
      </c>
    </row>
    <row r="2105" spans="1:3">
      <c r="A2105" t="s">
        <v>211</v>
      </c>
      <c r="B2105">
        <v>16</v>
      </c>
      <c r="C2105">
        <v>0</v>
      </c>
    </row>
    <row r="2106" spans="1:3">
      <c r="A2106" t="s">
        <v>211</v>
      </c>
      <c r="B2106">
        <v>17</v>
      </c>
      <c r="C2106">
        <v>8</v>
      </c>
    </row>
    <row r="2107" spans="1:3">
      <c r="A2107" t="s">
        <v>211</v>
      </c>
      <c r="B2107">
        <v>18</v>
      </c>
      <c r="C2107">
        <v>10</v>
      </c>
    </row>
    <row r="2108" spans="1:3">
      <c r="A2108" t="s">
        <v>211</v>
      </c>
      <c r="B2108">
        <v>19</v>
      </c>
      <c r="C2108">
        <v>9</v>
      </c>
    </row>
    <row r="2109" spans="1:3">
      <c r="A2109" t="s">
        <v>211</v>
      </c>
      <c r="B2109">
        <v>20</v>
      </c>
      <c r="C2109">
        <v>6</v>
      </c>
    </row>
    <row r="2110" spans="1:3">
      <c r="A2110" t="s">
        <v>211</v>
      </c>
      <c r="B2110">
        <v>21</v>
      </c>
      <c r="C2110">
        <v>7</v>
      </c>
    </row>
    <row r="2111" spans="1:3">
      <c r="A2111" t="s">
        <v>211</v>
      </c>
      <c r="B2111">
        <v>22</v>
      </c>
      <c r="C2111">
        <v>7</v>
      </c>
    </row>
    <row r="2112" spans="1:3">
      <c r="A2112" t="s">
        <v>211</v>
      </c>
      <c r="B2112">
        <v>23</v>
      </c>
      <c r="C2112">
        <v>8</v>
      </c>
    </row>
    <row r="2113" spans="1:3">
      <c r="A2113" t="s">
        <v>211</v>
      </c>
      <c r="B2113">
        <v>24</v>
      </c>
      <c r="C2113">
        <v>6</v>
      </c>
    </row>
    <row r="2114" spans="1:3">
      <c r="A2114" t="s">
        <v>170</v>
      </c>
      <c r="B2114">
        <v>1</v>
      </c>
      <c r="C2114">
        <v>0</v>
      </c>
    </row>
    <row r="2115" spans="1:3">
      <c r="A2115" t="s">
        <v>170</v>
      </c>
      <c r="B2115">
        <v>2</v>
      </c>
      <c r="C2115">
        <v>0</v>
      </c>
    </row>
    <row r="2116" spans="1:3">
      <c r="A2116" t="s">
        <v>170</v>
      </c>
      <c r="B2116">
        <v>3</v>
      </c>
      <c r="C2116">
        <v>0</v>
      </c>
    </row>
    <row r="2117" spans="1:3">
      <c r="A2117" t="s">
        <v>170</v>
      </c>
      <c r="B2117">
        <v>4</v>
      </c>
      <c r="C2117">
        <v>16</v>
      </c>
    </row>
    <row r="2118" spans="1:3">
      <c r="A2118" t="s">
        <v>170</v>
      </c>
      <c r="B2118">
        <v>5</v>
      </c>
      <c r="C2118">
        <v>39</v>
      </c>
    </row>
    <row r="2119" spans="1:3">
      <c r="A2119" t="s">
        <v>170</v>
      </c>
      <c r="B2119">
        <v>6</v>
      </c>
      <c r="C2119">
        <v>130</v>
      </c>
    </row>
    <row r="2120" spans="1:3">
      <c r="A2120" t="s">
        <v>170</v>
      </c>
      <c r="B2120">
        <v>7</v>
      </c>
      <c r="C2120">
        <v>126</v>
      </c>
    </row>
    <row r="2121" spans="1:3">
      <c r="A2121" t="s">
        <v>170</v>
      </c>
      <c r="B2121">
        <v>8</v>
      </c>
      <c r="C2121">
        <v>112</v>
      </c>
    </row>
    <row r="2122" spans="1:3">
      <c r="A2122" t="s">
        <v>170</v>
      </c>
      <c r="B2122">
        <v>9</v>
      </c>
      <c r="C2122">
        <v>119</v>
      </c>
    </row>
    <row r="2123" spans="1:3">
      <c r="A2123" t="s">
        <v>170</v>
      </c>
      <c r="B2123">
        <v>10</v>
      </c>
      <c r="C2123">
        <v>85</v>
      </c>
    </row>
    <row r="2124" spans="1:3">
      <c r="A2124" t="s">
        <v>170</v>
      </c>
      <c r="B2124">
        <v>11</v>
      </c>
      <c r="C2124">
        <v>83</v>
      </c>
    </row>
    <row r="2125" spans="1:3">
      <c r="A2125" t="s">
        <v>170</v>
      </c>
      <c r="B2125">
        <v>12</v>
      </c>
      <c r="C2125">
        <v>81</v>
      </c>
    </row>
    <row r="2126" spans="1:3">
      <c r="A2126" t="s">
        <v>170</v>
      </c>
      <c r="B2126">
        <v>13</v>
      </c>
      <c r="C2126">
        <v>88</v>
      </c>
    </row>
    <row r="2127" spans="1:3">
      <c r="A2127" t="s">
        <v>170</v>
      </c>
      <c r="B2127">
        <v>14</v>
      </c>
      <c r="C2127">
        <v>112</v>
      </c>
    </row>
    <row r="2128" spans="1:3">
      <c r="A2128" t="s">
        <v>170</v>
      </c>
      <c r="B2128">
        <v>15</v>
      </c>
      <c r="C2128">
        <v>114</v>
      </c>
    </row>
    <row r="2129" spans="1:3">
      <c r="A2129" t="s">
        <v>170</v>
      </c>
      <c r="B2129">
        <v>16</v>
      </c>
      <c r="C2129">
        <v>121</v>
      </c>
    </row>
    <row r="2130" spans="1:3">
      <c r="A2130" t="s">
        <v>170</v>
      </c>
      <c r="B2130">
        <v>17</v>
      </c>
      <c r="C2130">
        <v>129</v>
      </c>
    </row>
    <row r="2131" spans="1:3">
      <c r="A2131" t="s">
        <v>170</v>
      </c>
      <c r="B2131">
        <v>18</v>
      </c>
      <c r="C2131">
        <v>116</v>
      </c>
    </row>
    <row r="2132" spans="1:3">
      <c r="A2132" t="s">
        <v>170</v>
      </c>
      <c r="B2132">
        <v>19</v>
      </c>
      <c r="C2132">
        <v>117</v>
      </c>
    </row>
    <row r="2133" spans="1:3">
      <c r="A2133" t="s">
        <v>170</v>
      </c>
      <c r="B2133">
        <v>20</v>
      </c>
      <c r="C2133">
        <v>95</v>
      </c>
    </row>
    <row r="2134" spans="1:3">
      <c r="A2134" t="s">
        <v>170</v>
      </c>
      <c r="B2134">
        <v>21</v>
      </c>
      <c r="C2134">
        <v>81</v>
      </c>
    </row>
    <row r="2135" spans="1:3">
      <c r="A2135" t="s">
        <v>170</v>
      </c>
      <c r="B2135">
        <v>22</v>
      </c>
      <c r="C2135">
        <v>58</v>
      </c>
    </row>
    <row r="2136" spans="1:3">
      <c r="A2136" t="s">
        <v>170</v>
      </c>
      <c r="B2136">
        <v>23</v>
      </c>
      <c r="C2136">
        <v>66</v>
      </c>
    </row>
    <row r="2137" spans="1:3">
      <c r="A2137" t="s">
        <v>170</v>
      </c>
      <c r="B2137">
        <v>24</v>
      </c>
      <c r="C2137">
        <v>14</v>
      </c>
    </row>
    <row r="2138" spans="1:3">
      <c r="A2138" t="s">
        <v>163</v>
      </c>
      <c r="B2138">
        <v>1</v>
      </c>
      <c r="C2138">
        <v>0</v>
      </c>
    </row>
    <row r="2139" spans="1:3">
      <c r="A2139" t="s">
        <v>163</v>
      </c>
      <c r="B2139">
        <v>2</v>
      </c>
      <c r="C2139">
        <v>0</v>
      </c>
    </row>
    <row r="2140" spans="1:3">
      <c r="A2140" t="s">
        <v>163</v>
      </c>
      <c r="B2140">
        <v>3</v>
      </c>
      <c r="C2140">
        <v>0</v>
      </c>
    </row>
    <row r="2141" spans="1:3">
      <c r="A2141" t="s">
        <v>163</v>
      </c>
      <c r="B2141">
        <v>4</v>
      </c>
      <c r="C2141">
        <v>8</v>
      </c>
    </row>
    <row r="2142" spans="1:3">
      <c r="A2142" t="s">
        <v>163</v>
      </c>
      <c r="B2142">
        <v>5</v>
      </c>
      <c r="C2142">
        <v>62</v>
      </c>
    </row>
    <row r="2143" spans="1:3">
      <c r="A2143" t="s">
        <v>163</v>
      </c>
      <c r="B2143">
        <v>6</v>
      </c>
      <c r="C2143">
        <v>72</v>
      </c>
    </row>
    <row r="2144" spans="1:3">
      <c r="A2144" t="s">
        <v>163</v>
      </c>
      <c r="B2144">
        <v>7</v>
      </c>
      <c r="C2144">
        <v>119</v>
      </c>
    </row>
    <row r="2145" spans="1:3">
      <c r="A2145" t="s">
        <v>163</v>
      </c>
      <c r="B2145">
        <v>8</v>
      </c>
      <c r="C2145">
        <v>110</v>
      </c>
    </row>
    <row r="2146" spans="1:3">
      <c r="A2146" t="s">
        <v>163</v>
      </c>
      <c r="B2146">
        <v>9</v>
      </c>
      <c r="C2146">
        <v>396</v>
      </c>
    </row>
    <row r="2147" spans="1:3">
      <c r="A2147" t="s">
        <v>163</v>
      </c>
      <c r="B2147">
        <v>10</v>
      </c>
      <c r="C2147">
        <v>231</v>
      </c>
    </row>
    <row r="2148" spans="1:3">
      <c r="A2148" t="s">
        <v>163</v>
      </c>
      <c r="B2148">
        <v>11</v>
      </c>
      <c r="C2148">
        <v>109</v>
      </c>
    </row>
    <row r="2149" spans="1:3">
      <c r="A2149" t="s">
        <v>163</v>
      </c>
      <c r="B2149">
        <v>12</v>
      </c>
      <c r="C2149">
        <v>101</v>
      </c>
    </row>
    <row r="2150" spans="1:3">
      <c r="A2150" t="s">
        <v>163</v>
      </c>
      <c r="B2150">
        <v>13</v>
      </c>
      <c r="C2150">
        <v>115</v>
      </c>
    </row>
    <row r="2151" spans="1:3">
      <c r="A2151" t="s">
        <v>163</v>
      </c>
      <c r="B2151">
        <v>14</v>
      </c>
      <c r="C2151">
        <v>115</v>
      </c>
    </row>
    <row r="2152" spans="1:3">
      <c r="A2152" t="s">
        <v>163</v>
      </c>
      <c r="B2152">
        <v>15</v>
      </c>
      <c r="C2152">
        <v>112</v>
      </c>
    </row>
    <row r="2153" spans="1:3">
      <c r="A2153" t="s">
        <v>163</v>
      </c>
      <c r="B2153">
        <v>16</v>
      </c>
      <c r="C2153">
        <v>113</v>
      </c>
    </row>
    <row r="2154" spans="1:3">
      <c r="A2154" t="s">
        <v>163</v>
      </c>
      <c r="B2154">
        <v>17</v>
      </c>
      <c r="C2154">
        <v>114</v>
      </c>
    </row>
    <row r="2155" spans="1:3">
      <c r="A2155" t="s">
        <v>163</v>
      </c>
      <c r="B2155">
        <v>18</v>
      </c>
      <c r="C2155">
        <v>675</v>
      </c>
    </row>
    <row r="2156" spans="1:3">
      <c r="A2156" t="s">
        <v>163</v>
      </c>
      <c r="B2156">
        <v>19</v>
      </c>
      <c r="C2156">
        <v>121</v>
      </c>
    </row>
    <row r="2157" spans="1:3">
      <c r="A2157" t="s">
        <v>163</v>
      </c>
      <c r="B2157">
        <v>20</v>
      </c>
      <c r="C2157">
        <v>125</v>
      </c>
    </row>
    <row r="2158" spans="1:3">
      <c r="A2158" t="s">
        <v>163</v>
      </c>
      <c r="B2158">
        <v>21</v>
      </c>
      <c r="C2158">
        <v>107</v>
      </c>
    </row>
    <row r="2159" spans="1:3">
      <c r="A2159" t="s">
        <v>163</v>
      </c>
      <c r="B2159">
        <v>22</v>
      </c>
      <c r="C2159">
        <v>89</v>
      </c>
    </row>
    <row r="2160" spans="1:3">
      <c r="A2160" t="s">
        <v>163</v>
      </c>
      <c r="B2160">
        <v>23</v>
      </c>
      <c r="C2160">
        <v>68</v>
      </c>
    </row>
    <row r="2161" spans="1:3">
      <c r="A2161" t="s">
        <v>163</v>
      </c>
      <c r="B2161">
        <v>24</v>
      </c>
      <c r="C2161">
        <v>9</v>
      </c>
    </row>
    <row r="2162" spans="1:3">
      <c r="A2162" t="s">
        <v>167</v>
      </c>
      <c r="B2162">
        <v>1</v>
      </c>
      <c r="C2162">
        <v>0</v>
      </c>
    </row>
    <row r="2163" spans="1:3">
      <c r="A2163" t="s">
        <v>167</v>
      </c>
      <c r="B2163">
        <v>2</v>
      </c>
      <c r="C2163">
        <v>0</v>
      </c>
    </row>
    <row r="2164" spans="1:3">
      <c r="A2164" t="s">
        <v>167</v>
      </c>
      <c r="B2164">
        <v>3</v>
      </c>
      <c r="C2164">
        <v>0</v>
      </c>
    </row>
    <row r="2165" spans="1:3">
      <c r="A2165" t="s">
        <v>167</v>
      </c>
      <c r="B2165">
        <v>4</v>
      </c>
      <c r="C2165">
        <v>14</v>
      </c>
    </row>
    <row r="2166" spans="1:3">
      <c r="A2166" t="s">
        <v>167</v>
      </c>
      <c r="B2166">
        <v>5</v>
      </c>
      <c r="C2166">
        <v>96</v>
      </c>
    </row>
    <row r="2167" spans="1:3">
      <c r="A2167" t="s">
        <v>167</v>
      </c>
      <c r="B2167">
        <v>6</v>
      </c>
      <c r="C2167">
        <v>93</v>
      </c>
    </row>
    <row r="2168" spans="1:3">
      <c r="A2168" t="s">
        <v>167</v>
      </c>
      <c r="B2168">
        <v>7</v>
      </c>
      <c r="C2168">
        <v>101</v>
      </c>
    </row>
    <row r="2169" spans="1:3">
      <c r="A2169" t="s">
        <v>167</v>
      </c>
      <c r="B2169">
        <v>8</v>
      </c>
      <c r="C2169">
        <v>110</v>
      </c>
    </row>
    <row r="2170" spans="1:3">
      <c r="A2170" t="s">
        <v>167</v>
      </c>
      <c r="B2170">
        <v>9</v>
      </c>
      <c r="C2170">
        <v>137</v>
      </c>
    </row>
    <row r="2171" spans="1:3">
      <c r="A2171" t="s">
        <v>167</v>
      </c>
      <c r="B2171">
        <v>10</v>
      </c>
      <c r="C2171">
        <v>105</v>
      </c>
    </row>
    <row r="2172" spans="1:3">
      <c r="A2172" t="s">
        <v>167</v>
      </c>
      <c r="B2172">
        <v>11</v>
      </c>
      <c r="C2172">
        <v>80</v>
      </c>
    </row>
    <row r="2173" spans="1:3">
      <c r="A2173" t="s">
        <v>167</v>
      </c>
      <c r="B2173">
        <v>12</v>
      </c>
      <c r="C2173">
        <v>90</v>
      </c>
    </row>
    <row r="2174" spans="1:3">
      <c r="A2174" t="s">
        <v>167</v>
      </c>
      <c r="B2174">
        <v>13</v>
      </c>
      <c r="C2174">
        <v>90</v>
      </c>
    </row>
    <row r="2175" spans="1:3">
      <c r="A2175" t="s">
        <v>167</v>
      </c>
      <c r="B2175">
        <v>14</v>
      </c>
      <c r="C2175">
        <v>95</v>
      </c>
    </row>
    <row r="2176" spans="1:3">
      <c r="A2176" t="s">
        <v>167</v>
      </c>
      <c r="B2176">
        <v>15</v>
      </c>
      <c r="C2176">
        <v>101</v>
      </c>
    </row>
    <row r="2177" spans="1:3">
      <c r="A2177" t="s">
        <v>167</v>
      </c>
      <c r="B2177">
        <v>16</v>
      </c>
      <c r="C2177">
        <v>95</v>
      </c>
    </row>
    <row r="2178" spans="1:3">
      <c r="A2178" t="s">
        <v>167</v>
      </c>
      <c r="B2178">
        <v>17</v>
      </c>
      <c r="C2178">
        <v>88</v>
      </c>
    </row>
    <row r="2179" spans="1:3">
      <c r="A2179" t="s">
        <v>167</v>
      </c>
      <c r="B2179">
        <v>18</v>
      </c>
      <c r="C2179">
        <v>96</v>
      </c>
    </row>
    <row r="2180" spans="1:3">
      <c r="A2180" t="s">
        <v>167</v>
      </c>
      <c r="B2180">
        <v>19</v>
      </c>
      <c r="C2180">
        <v>94</v>
      </c>
    </row>
    <row r="2181" spans="1:3">
      <c r="A2181" t="s">
        <v>167</v>
      </c>
      <c r="B2181">
        <v>20</v>
      </c>
      <c r="C2181">
        <v>94</v>
      </c>
    </row>
    <row r="2182" spans="1:3">
      <c r="A2182" t="s">
        <v>167</v>
      </c>
      <c r="B2182">
        <v>21</v>
      </c>
      <c r="C2182">
        <v>78</v>
      </c>
    </row>
    <row r="2183" spans="1:3">
      <c r="A2183" t="s">
        <v>167</v>
      </c>
      <c r="B2183">
        <v>22</v>
      </c>
      <c r="C2183">
        <v>69</v>
      </c>
    </row>
    <row r="2184" spans="1:3">
      <c r="A2184" t="s">
        <v>167</v>
      </c>
      <c r="B2184">
        <v>23</v>
      </c>
      <c r="C2184">
        <v>57</v>
      </c>
    </row>
    <row r="2185" spans="1:3">
      <c r="A2185" t="s">
        <v>167</v>
      </c>
      <c r="B2185">
        <v>24</v>
      </c>
      <c r="C2185">
        <v>6</v>
      </c>
    </row>
    <row r="2186" spans="1:3">
      <c r="A2186" t="s">
        <v>208</v>
      </c>
      <c r="B2186">
        <v>1</v>
      </c>
      <c r="C2186">
        <v>0</v>
      </c>
    </row>
    <row r="2187" spans="1:3">
      <c r="A2187" t="s">
        <v>208</v>
      </c>
      <c r="B2187">
        <v>2</v>
      </c>
      <c r="C2187">
        <v>0</v>
      </c>
    </row>
    <row r="2188" spans="1:3">
      <c r="A2188" t="s">
        <v>208</v>
      </c>
      <c r="B2188">
        <v>3</v>
      </c>
      <c r="C2188">
        <v>0</v>
      </c>
    </row>
    <row r="2189" spans="1:3">
      <c r="A2189" t="s">
        <v>208</v>
      </c>
      <c r="B2189">
        <v>4</v>
      </c>
      <c r="C2189">
        <v>0</v>
      </c>
    </row>
    <row r="2190" spans="1:3">
      <c r="A2190" t="s">
        <v>208</v>
      </c>
      <c r="B2190">
        <v>5</v>
      </c>
      <c r="C2190">
        <v>37</v>
      </c>
    </row>
    <row r="2191" spans="1:3">
      <c r="A2191" t="s">
        <v>208</v>
      </c>
      <c r="B2191">
        <v>6</v>
      </c>
      <c r="C2191">
        <v>36</v>
      </c>
    </row>
    <row r="2192" spans="1:3">
      <c r="A2192" t="s">
        <v>208</v>
      </c>
      <c r="B2192">
        <v>7</v>
      </c>
      <c r="C2192">
        <v>76</v>
      </c>
    </row>
    <row r="2193" spans="1:3">
      <c r="A2193" t="s">
        <v>208</v>
      </c>
      <c r="B2193">
        <v>8</v>
      </c>
      <c r="C2193">
        <v>76</v>
      </c>
    </row>
    <row r="2194" spans="1:3">
      <c r="A2194" t="s">
        <v>208</v>
      </c>
      <c r="B2194">
        <v>9</v>
      </c>
      <c r="C2194">
        <v>80</v>
      </c>
    </row>
    <row r="2195" spans="1:3">
      <c r="A2195" t="s">
        <v>208</v>
      </c>
      <c r="B2195">
        <v>10</v>
      </c>
      <c r="C2195">
        <v>70</v>
      </c>
    </row>
    <row r="2196" spans="1:3">
      <c r="A2196" t="s">
        <v>208</v>
      </c>
      <c r="B2196">
        <v>11</v>
      </c>
      <c r="C2196">
        <v>78</v>
      </c>
    </row>
    <row r="2197" spans="1:3">
      <c r="A2197" t="s">
        <v>208</v>
      </c>
      <c r="B2197">
        <v>12</v>
      </c>
      <c r="C2197">
        <v>68</v>
      </c>
    </row>
    <row r="2198" spans="1:3">
      <c r="A2198" t="s">
        <v>208</v>
      </c>
      <c r="B2198">
        <v>13</v>
      </c>
      <c r="C2198">
        <v>62</v>
      </c>
    </row>
    <row r="2199" spans="1:3">
      <c r="A2199" t="s">
        <v>208</v>
      </c>
      <c r="B2199">
        <v>14</v>
      </c>
      <c r="C2199">
        <v>72</v>
      </c>
    </row>
    <row r="2200" spans="1:3">
      <c r="A2200" t="s">
        <v>208</v>
      </c>
      <c r="B2200">
        <v>15</v>
      </c>
      <c r="C2200">
        <v>78</v>
      </c>
    </row>
    <row r="2201" spans="1:3">
      <c r="A2201" t="s">
        <v>208</v>
      </c>
      <c r="B2201">
        <v>16</v>
      </c>
      <c r="C2201">
        <v>67</v>
      </c>
    </row>
    <row r="2202" spans="1:3">
      <c r="A2202" t="s">
        <v>208</v>
      </c>
      <c r="B2202">
        <v>17</v>
      </c>
      <c r="C2202">
        <v>72</v>
      </c>
    </row>
    <row r="2203" spans="1:3">
      <c r="A2203" t="s">
        <v>208</v>
      </c>
      <c r="B2203">
        <v>18</v>
      </c>
      <c r="C2203">
        <v>74</v>
      </c>
    </row>
    <row r="2204" spans="1:3">
      <c r="A2204" t="s">
        <v>208</v>
      </c>
      <c r="B2204">
        <v>19</v>
      </c>
      <c r="C2204">
        <v>62</v>
      </c>
    </row>
    <row r="2205" spans="1:3">
      <c r="A2205" t="s">
        <v>208</v>
      </c>
      <c r="B2205">
        <v>20</v>
      </c>
      <c r="C2205">
        <v>63</v>
      </c>
    </row>
    <row r="2206" spans="1:3">
      <c r="A2206" t="s">
        <v>208</v>
      </c>
      <c r="B2206">
        <v>21</v>
      </c>
      <c r="C2206">
        <v>65</v>
      </c>
    </row>
    <row r="2207" spans="1:3">
      <c r="A2207" t="s">
        <v>208</v>
      </c>
      <c r="B2207">
        <v>22</v>
      </c>
      <c r="C2207">
        <v>68</v>
      </c>
    </row>
    <row r="2208" spans="1:3">
      <c r="A2208" t="s">
        <v>208</v>
      </c>
      <c r="B2208">
        <v>23</v>
      </c>
      <c r="C2208">
        <v>41</v>
      </c>
    </row>
    <row r="2209" spans="1:3">
      <c r="A2209" t="s">
        <v>208</v>
      </c>
      <c r="B2209">
        <v>24</v>
      </c>
      <c r="C2209">
        <v>6</v>
      </c>
    </row>
    <row r="2210" spans="1:3">
      <c r="A2210" t="s">
        <v>206</v>
      </c>
      <c r="B2210">
        <v>1</v>
      </c>
      <c r="C2210">
        <v>0</v>
      </c>
    </row>
    <row r="2211" spans="1:3">
      <c r="A2211" t="s">
        <v>206</v>
      </c>
      <c r="B2211">
        <v>2</v>
      </c>
      <c r="C2211">
        <v>0</v>
      </c>
    </row>
    <row r="2212" spans="1:3">
      <c r="A2212" t="s">
        <v>206</v>
      </c>
      <c r="B2212">
        <v>3</v>
      </c>
      <c r="C2212">
        <v>0</v>
      </c>
    </row>
    <row r="2213" spans="1:3">
      <c r="A2213" t="s">
        <v>206</v>
      </c>
      <c r="B2213">
        <v>4</v>
      </c>
      <c r="C2213">
        <v>11</v>
      </c>
    </row>
    <row r="2214" spans="1:3">
      <c r="A2214" t="s">
        <v>206</v>
      </c>
      <c r="B2214">
        <v>5</v>
      </c>
      <c r="C2214">
        <v>26</v>
      </c>
    </row>
    <row r="2215" spans="1:3">
      <c r="A2215" t="s">
        <v>206</v>
      </c>
      <c r="B2215">
        <v>6</v>
      </c>
      <c r="C2215">
        <v>39</v>
      </c>
    </row>
    <row r="2216" spans="1:3">
      <c r="A2216" t="s">
        <v>206</v>
      </c>
      <c r="B2216">
        <v>7</v>
      </c>
      <c r="C2216">
        <v>71</v>
      </c>
    </row>
    <row r="2217" spans="1:3">
      <c r="A2217" t="s">
        <v>206</v>
      </c>
      <c r="B2217">
        <v>8</v>
      </c>
      <c r="C2217">
        <v>75</v>
      </c>
    </row>
    <row r="2218" spans="1:3">
      <c r="A2218" t="s">
        <v>206</v>
      </c>
      <c r="B2218">
        <v>9</v>
      </c>
      <c r="C2218">
        <v>64</v>
      </c>
    </row>
    <row r="2219" spans="1:3">
      <c r="A2219" t="s">
        <v>206</v>
      </c>
      <c r="B2219">
        <v>10</v>
      </c>
      <c r="C2219">
        <v>63</v>
      </c>
    </row>
    <row r="2220" spans="1:3">
      <c r="A2220" t="s">
        <v>206</v>
      </c>
      <c r="B2220">
        <v>11</v>
      </c>
      <c r="C2220">
        <v>73</v>
      </c>
    </row>
    <row r="2221" spans="1:3">
      <c r="A2221" t="s">
        <v>206</v>
      </c>
      <c r="B2221">
        <v>12</v>
      </c>
      <c r="C2221">
        <v>57</v>
      </c>
    </row>
    <row r="2222" spans="1:3">
      <c r="A2222" t="s">
        <v>206</v>
      </c>
      <c r="B2222">
        <v>13</v>
      </c>
      <c r="C2222">
        <v>75</v>
      </c>
    </row>
    <row r="2223" spans="1:3">
      <c r="A2223" t="s">
        <v>206</v>
      </c>
      <c r="B2223">
        <v>14</v>
      </c>
      <c r="C2223">
        <v>79</v>
      </c>
    </row>
    <row r="2224" spans="1:3">
      <c r="A2224" t="s">
        <v>206</v>
      </c>
      <c r="B2224">
        <v>15</v>
      </c>
      <c r="C2224">
        <v>66</v>
      </c>
    </row>
    <row r="2225" spans="1:3">
      <c r="A2225" t="s">
        <v>206</v>
      </c>
      <c r="B2225">
        <v>16</v>
      </c>
      <c r="C2225">
        <v>74</v>
      </c>
    </row>
    <row r="2226" spans="1:3">
      <c r="A2226" t="s">
        <v>206</v>
      </c>
      <c r="B2226">
        <v>17</v>
      </c>
      <c r="C2226">
        <v>79</v>
      </c>
    </row>
    <row r="2227" spans="1:3">
      <c r="A2227" t="s">
        <v>206</v>
      </c>
      <c r="B2227">
        <v>18</v>
      </c>
      <c r="C2227">
        <v>64</v>
      </c>
    </row>
    <row r="2228" spans="1:3">
      <c r="A2228" t="s">
        <v>206</v>
      </c>
      <c r="B2228">
        <v>19</v>
      </c>
      <c r="C2228">
        <v>62</v>
      </c>
    </row>
    <row r="2229" spans="1:3">
      <c r="A2229" t="s">
        <v>206</v>
      </c>
      <c r="B2229">
        <v>20</v>
      </c>
      <c r="C2229">
        <v>81</v>
      </c>
    </row>
    <row r="2230" spans="1:3">
      <c r="A2230" t="s">
        <v>206</v>
      </c>
      <c r="B2230">
        <v>21</v>
      </c>
      <c r="C2230">
        <v>42</v>
      </c>
    </row>
    <row r="2231" spans="1:3">
      <c r="A2231" t="s">
        <v>206</v>
      </c>
      <c r="B2231">
        <v>22</v>
      </c>
      <c r="C2231">
        <v>63</v>
      </c>
    </row>
    <row r="2232" spans="1:3">
      <c r="A2232" t="s">
        <v>206</v>
      </c>
      <c r="B2232">
        <v>23</v>
      </c>
      <c r="C2232">
        <v>74</v>
      </c>
    </row>
    <row r="2233" spans="1:3">
      <c r="A2233" t="s">
        <v>206</v>
      </c>
      <c r="B2233">
        <v>24</v>
      </c>
      <c r="C2233">
        <v>69</v>
      </c>
    </row>
    <row r="2234" spans="1:3">
      <c r="A2234" t="s">
        <v>216</v>
      </c>
      <c r="B2234">
        <v>1</v>
      </c>
      <c r="C2234">
        <v>14</v>
      </c>
    </row>
    <row r="2235" spans="1:3">
      <c r="A2235" t="s">
        <v>216</v>
      </c>
      <c r="B2235">
        <v>2</v>
      </c>
      <c r="C2235">
        <v>11</v>
      </c>
    </row>
    <row r="2236" spans="1:3">
      <c r="A2236" t="s">
        <v>216</v>
      </c>
      <c r="B2236">
        <v>3</v>
      </c>
      <c r="C2236">
        <v>0</v>
      </c>
    </row>
    <row r="2237" spans="1:3">
      <c r="A2237" t="s">
        <v>216</v>
      </c>
      <c r="B2237">
        <v>4</v>
      </c>
      <c r="C2237">
        <v>16</v>
      </c>
    </row>
    <row r="2238" spans="1:3">
      <c r="A2238" t="s">
        <v>216</v>
      </c>
      <c r="B2238">
        <v>5</v>
      </c>
      <c r="C2238">
        <v>36</v>
      </c>
    </row>
    <row r="2239" spans="1:3">
      <c r="A2239" t="s">
        <v>216</v>
      </c>
      <c r="B2239">
        <v>6</v>
      </c>
      <c r="C2239">
        <v>48</v>
      </c>
    </row>
    <row r="2240" spans="1:3">
      <c r="A2240" t="s">
        <v>216</v>
      </c>
      <c r="B2240">
        <v>7</v>
      </c>
      <c r="C2240">
        <v>71</v>
      </c>
    </row>
    <row r="2241" spans="1:3">
      <c r="A2241" t="s">
        <v>216</v>
      </c>
      <c r="B2241">
        <v>8</v>
      </c>
      <c r="C2241">
        <v>63</v>
      </c>
    </row>
    <row r="2242" spans="1:3">
      <c r="A2242" t="s">
        <v>216</v>
      </c>
      <c r="B2242">
        <v>9</v>
      </c>
      <c r="C2242">
        <v>66</v>
      </c>
    </row>
    <row r="2243" spans="1:3">
      <c r="A2243" t="s">
        <v>216</v>
      </c>
      <c r="B2243">
        <v>10</v>
      </c>
      <c r="C2243">
        <v>58</v>
      </c>
    </row>
    <row r="2244" spans="1:3">
      <c r="A2244" t="s">
        <v>216</v>
      </c>
      <c r="B2244">
        <v>11</v>
      </c>
      <c r="C2244">
        <v>70</v>
      </c>
    </row>
    <row r="2245" spans="1:3">
      <c r="A2245" t="s">
        <v>216</v>
      </c>
      <c r="B2245">
        <v>12</v>
      </c>
      <c r="C2245">
        <v>67</v>
      </c>
    </row>
    <row r="2246" spans="1:3">
      <c r="A2246" t="s">
        <v>216</v>
      </c>
      <c r="B2246">
        <v>13</v>
      </c>
      <c r="C2246">
        <v>69</v>
      </c>
    </row>
    <row r="2247" spans="1:3">
      <c r="A2247" t="s">
        <v>216</v>
      </c>
      <c r="B2247">
        <v>14</v>
      </c>
      <c r="C2247">
        <v>70</v>
      </c>
    </row>
    <row r="2248" spans="1:3">
      <c r="A2248" t="s">
        <v>216</v>
      </c>
      <c r="B2248">
        <v>15</v>
      </c>
      <c r="C2248">
        <v>76</v>
      </c>
    </row>
    <row r="2249" spans="1:3">
      <c r="A2249" t="s">
        <v>216</v>
      </c>
      <c r="B2249">
        <v>16</v>
      </c>
      <c r="C2249">
        <v>70</v>
      </c>
    </row>
    <row r="2250" spans="1:3">
      <c r="A2250" t="s">
        <v>216</v>
      </c>
      <c r="B2250">
        <v>17</v>
      </c>
      <c r="C2250">
        <v>74</v>
      </c>
    </row>
    <row r="2251" spans="1:3">
      <c r="A2251" t="s">
        <v>216</v>
      </c>
      <c r="B2251">
        <v>18</v>
      </c>
      <c r="C2251">
        <v>75</v>
      </c>
    </row>
    <row r="2252" spans="1:3">
      <c r="A2252" t="s">
        <v>216</v>
      </c>
      <c r="B2252">
        <v>19</v>
      </c>
      <c r="C2252">
        <v>71</v>
      </c>
    </row>
    <row r="2253" spans="1:3">
      <c r="A2253" t="s">
        <v>216</v>
      </c>
      <c r="B2253">
        <v>20</v>
      </c>
      <c r="C2253">
        <v>73</v>
      </c>
    </row>
    <row r="2254" spans="1:3">
      <c r="A2254" t="s">
        <v>216</v>
      </c>
      <c r="B2254">
        <v>21</v>
      </c>
      <c r="C2254">
        <v>54</v>
      </c>
    </row>
    <row r="2255" spans="1:3">
      <c r="A2255" t="s">
        <v>216</v>
      </c>
      <c r="B2255">
        <v>22</v>
      </c>
      <c r="C2255">
        <v>69</v>
      </c>
    </row>
    <row r="2256" spans="1:3">
      <c r="A2256" t="s">
        <v>216</v>
      </c>
      <c r="B2256">
        <v>23</v>
      </c>
      <c r="C2256">
        <v>50</v>
      </c>
    </row>
    <row r="2257" spans="1:3">
      <c r="A2257" t="s">
        <v>216</v>
      </c>
      <c r="B2257">
        <v>24</v>
      </c>
      <c r="C2257">
        <v>47</v>
      </c>
    </row>
    <row r="2258" spans="1:3">
      <c r="A2258" t="s">
        <v>244</v>
      </c>
      <c r="B2258">
        <v>1</v>
      </c>
      <c r="C2258">
        <v>0</v>
      </c>
    </row>
    <row r="2259" spans="1:3">
      <c r="A2259" t="s">
        <v>244</v>
      </c>
      <c r="B2259">
        <v>2</v>
      </c>
      <c r="C2259">
        <v>0</v>
      </c>
    </row>
    <row r="2260" spans="1:3">
      <c r="A2260" t="s">
        <v>244</v>
      </c>
      <c r="B2260">
        <v>3</v>
      </c>
      <c r="C2260">
        <v>0</v>
      </c>
    </row>
    <row r="2261" spans="1:3">
      <c r="A2261" t="s">
        <v>244</v>
      </c>
      <c r="B2261">
        <v>4</v>
      </c>
      <c r="C2261">
        <v>8</v>
      </c>
    </row>
    <row r="2262" spans="1:3">
      <c r="A2262" t="s">
        <v>244</v>
      </c>
      <c r="B2262">
        <v>5</v>
      </c>
      <c r="C2262">
        <v>29</v>
      </c>
    </row>
    <row r="2263" spans="1:3">
      <c r="A2263" t="s">
        <v>244</v>
      </c>
      <c r="B2263">
        <v>6</v>
      </c>
      <c r="C2263">
        <v>35</v>
      </c>
    </row>
    <row r="2264" spans="1:3">
      <c r="A2264" t="s">
        <v>244</v>
      </c>
      <c r="B2264">
        <v>7</v>
      </c>
      <c r="C2264">
        <v>38</v>
      </c>
    </row>
    <row r="2265" spans="1:3">
      <c r="A2265" t="s">
        <v>244</v>
      </c>
      <c r="B2265">
        <v>8</v>
      </c>
      <c r="C2265">
        <v>32</v>
      </c>
    </row>
    <row r="2266" spans="1:3">
      <c r="A2266" t="s">
        <v>244</v>
      </c>
      <c r="B2266">
        <v>9</v>
      </c>
      <c r="C2266">
        <v>24</v>
      </c>
    </row>
    <row r="2267" spans="1:3">
      <c r="A2267" t="s">
        <v>244</v>
      </c>
      <c r="B2267">
        <v>10</v>
      </c>
      <c r="C2267">
        <v>5</v>
      </c>
    </row>
    <row r="2268" spans="1:3">
      <c r="A2268" t="s">
        <v>244</v>
      </c>
      <c r="B2268">
        <v>11</v>
      </c>
      <c r="C2268">
        <v>0</v>
      </c>
    </row>
    <row r="2269" spans="1:3">
      <c r="A2269" t="s">
        <v>244</v>
      </c>
      <c r="B2269">
        <v>12</v>
      </c>
      <c r="C2269">
        <v>0</v>
      </c>
    </row>
    <row r="2270" spans="1:3">
      <c r="A2270" t="s">
        <v>244</v>
      </c>
      <c r="B2270">
        <v>13</v>
      </c>
      <c r="C2270">
        <v>0</v>
      </c>
    </row>
    <row r="2271" spans="1:3">
      <c r="A2271" t="s">
        <v>244</v>
      </c>
      <c r="B2271">
        <v>14</v>
      </c>
      <c r="C2271">
        <v>36</v>
      </c>
    </row>
    <row r="2272" spans="1:3">
      <c r="A2272" t="s">
        <v>244</v>
      </c>
      <c r="B2272">
        <v>15</v>
      </c>
      <c r="C2272">
        <v>43</v>
      </c>
    </row>
    <row r="2273" spans="1:3">
      <c r="A2273" t="s">
        <v>244</v>
      </c>
      <c r="B2273">
        <v>16</v>
      </c>
      <c r="C2273">
        <v>41</v>
      </c>
    </row>
    <row r="2274" spans="1:3">
      <c r="A2274" t="s">
        <v>244</v>
      </c>
      <c r="B2274">
        <v>17</v>
      </c>
      <c r="C2274">
        <v>49</v>
      </c>
    </row>
    <row r="2275" spans="1:3">
      <c r="A2275" t="s">
        <v>244</v>
      </c>
      <c r="B2275">
        <v>18</v>
      </c>
      <c r="C2275">
        <v>40</v>
      </c>
    </row>
    <row r="2276" spans="1:3">
      <c r="A2276" t="s">
        <v>244</v>
      </c>
      <c r="B2276">
        <v>19</v>
      </c>
      <c r="C2276">
        <v>28</v>
      </c>
    </row>
    <row r="2277" spans="1:3">
      <c r="A2277" t="s">
        <v>244</v>
      </c>
      <c r="B2277">
        <v>20</v>
      </c>
      <c r="C2277">
        <v>0</v>
      </c>
    </row>
    <row r="2278" spans="1:3">
      <c r="A2278" t="s">
        <v>244</v>
      </c>
      <c r="B2278">
        <v>21</v>
      </c>
      <c r="C2278">
        <v>0</v>
      </c>
    </row>
    <row r="2279" spans="1:3">
      <c r="A2279" t="s">
        <v>244</v>
      </c>
      <c r="B2279">
        <v>22</v>
      </c>
      <c r="C2279">
        <v>0</v>
      </c>
    </row>
    <row r="2280" spans="1:3">
      <c r="A2280" t="s">
        <v>244</v>
      </c>
      <c r="B2280">
        <v>23</v>
      </c>
      <c r="C2280">
        <v>0</v>
      </c>
    </row>
    <row r="2281" spans="1:3">
      <c r="A2281" t="s">
        <v>244</v>
      </c>
      <c r="B2281">
        <v>24</v>
      </c>
      <c r="C2281">
        <v>0</v>
      </c>
    </row>
    <row r="2282" spans="1:3">
      <c r="A2282" t="s">
        <v>205</v>
      </c>
      <c r="B2282">
        <v>1</v>
      </c>
      <c r="C2282">
        <v>0</v>
      </c>
    </row>
    <row r="2283" spans="1:3">
      <c r="A2283" t="s">
        <v>205</v>
      </c>
      <c r="B2283">
        <v>2</v>
      </c>
      <c r="C2283">
        <v>0</v>
      </c>
    </row>
    <row r="2284" spans="1:3">
      <c r="A2284" t="s">
        <v>205</v>
      </c>
      <c r="B2284">
        <v>3</v>
      </c>
      <c r="C2284">
        <v>0</v>
      </c>
    </row>
    <row r="2285" spans="1:3">
      <c r="A2285" t="s">
        <v>205</v>
      </c>
      <c r="B2285">
        <v>4</v>
      </c>
      <c r="C2285">
        <v>34</v>
      </c>
    </row>
    <row r="2286" spans="1:3">
      <c r="A2286" t="s">
        <v>205</v>
      </c>
      <c r="B2286">
        <v>5</v>
      </c>
      <c r="C2286">
        <v>49</v>
      </c>
    </row>
    <row r="2287" spans="1:3">
      <c r="A2287" t="s">
        <v>205</v>
      </c>
      <c r="B2287">
        <v>6</v>
      </c>
      <c r="C2287">
        <v>56</v>
      </c>
    </row>
    <row r="2288" spans="1:3">
      <c r="A2288" t="s">
        <v>205</v>
      </c>
      <c r="B2288">
        <v>7</v>
      </c>
      <c r="C2288">
        <v>72</v>
      </c>
    </row>
    <row r="2289" spans="1:3">
      <c r="A2289" t="s">
        <v>205</v>
      </c>
      <c r="B2289">
        <v>8</v>
      </c>
      <c r="C2289">
        <v>69</v>
      </c>
    </row>
    <row r="2290" spans="1:3">
      <c r="A2290" t="s">
        <v>205</v>
      </c>
      <c r="B2290">
        <v>9</v>
      </c>
      <c r="C2290">
        <v>56</v>
      </c>
    </row>
    <row r="2291" spans="1:3">
      <c r="A2291" t="s">
        <v>205</v>
      </c>
      <c r="B2291">
        <v>10</v>
      </c>
      <c r="C2291">
        <v>77</v>
      </c>
    </row>
    <row r="2292" spans="1:3">
      <c r="A2292" t="s">
        <v>205</v>
      </c>
      <c r="B2292">
        <v>11</v>
      </c>
      <c r="C2292">
        <v>69</v>
      </c>
    </row>
    <row r="2293" spans="1:3">
      <c r="A2293" t="s">
        <v>205</v>
      </c>
      <c r="B2293">
        <v>12</v>
      </c>
      <c r="C2293">
        <v>73</v>
      </c>
    </row>
    <row r="2294" spans="1:3">
      <c r="A2294" t="s">
        <v>205</v>
      </c>
      <c r="B2294">
        <v>13</v>
      </c>
      <c r="C2294">
        <v>77</v>
      </c>
    </row>
    <row r="2295" spans="1:3">
      <c r="A2295" t="s">
        <v>205</v>
      </c>
      <c r="B2295">
        <v>14</v>
      </c>
      <c r="C2295">
        <v>82</v>
      </c>
    </row>
    <row r="2296" spans="1:3">
      <c r="A2296" t="s">
        <v>205</v>
      </c>
      <c r="B2296">
        <v>15</v>
      </c>
      <c r="C2296">
        <v>76</v>
      </c>
    </row>
    <row r="2297" spans="1:3">
      <c r="A2297" t="s">
        <v>205</v>
      </c>
      <c r="B2297">
        <v>16</v>
      </c>
      <c r="C2297">
        <v>71</v>
      </c>
    </row>
    <row r="2298" spans="1:3">
      <c r="A2298" t="s">
        <v>205</v>
      </c>
      <c r="B2298">
        <v>17</v>
      </c>
      <c r="C2298">
        <v>68</v>
      </c>
    </row>
    <row r="2299" spans="1:3">
      <c r="A2299" t="s">
        <v>205</v>
      </c>
      <c r="B2299">
        <v>18</v>
      </c>
      <c r="C2299">
        <v>80</v>
      </c>
    </row>
    <row r="2300" spans="1:3">
      <c r="A2300" t="s">
        <v>205</v>
      </c>
      <c r="B2300">
        <v>19</v>
      </c>
      <c r="C2300">
        <v>72</v>
      </c>
    </row>
    <row r="2301" spans="1:3">
      <c r="A2301" t="s">
        <v>205</v>
      </c>
      <c r="B2301">
        <v>20</v>
      </c>
      <c r="C2301">
        <v>48</v>
      </c>
    </row>
    <row r="2302" spans="1:3">
      <c r="A2302" t="s">
        <v>205</v>
      </c>
      <c r="B2302">
        <v>21</v>
      </c>
      <c r="C2302">
        <v>44</v>
      </c>
    </row>
    <row r="2303" spans="1:3">
      <c r="A2303" t="s">
        <v>205</v>
      </c>
      <c r="B2303">
        <v>22</v>
      </c>
      <c r="C2303">
        <v>35</v>
      </c>
    </row>
    <row r="2304" spans="1:3">
      <c r="A2304" t="s">
        <v>205</v>
      </c>
      <c r="B2304">
        <v>23</v>
      </c>
      <c r="C2304">
        <v>30</v>
      </c>
    </row>
    <row r="2305" spans="1:3">
      <c r="A2305" t="s">
        <v>205</v>
      </c>
      <c r="B2305">
        <v>24</v>
      </c>
      <c r="C2305">
        <v>12</v>
      </c>
    </row>
    <row r="2306" spans="1:3">
      <c r="A2306" t="s">
        <v>201</v>
      </c>
      <c r="B2306">
        <v>1</v>
      </c>
      <c r="C2306">
        <v>38</v>
      </c>
    </row>
    <row r="2307" spans="1:3">
      <c r="A2307" t="s">
        <v>201</v>
      </c>
      <c r="B2307">
        <v>2</v>
      </c>
      <c r="C2307">
        <v>6</v>
      </c>
    </row>
    <row r="2308" spans="1:3">
      <c r="A2308" t="s">
        <v>201</v>
      </c>
      <c r="B2308">
        <v>3</v>
      </c>
      <c r="C2308">
        <v>0</v>
      </c>
    </row>
    <row r="2309" spans="1:3">
      <c r="A2309" t="s">
        <v>201</v>
      </c>
      <c r="B2309">
        <v>4</v>
      </c>
      <c r="C2309">
        <v>17</v>
      </c>
    </row>
    <row r="2310" spans="1:3">
      <c r="A2310" t="s">
        <v>201</v>
      </c>
      <c r="B2310">
        <v>5</v>
      </c>
      <c r="C2310">
        <v>33</v>
      </c>
    </row>
    <row r="2311" spans="1:3">
      <c r="A2311" t="s">
        <v>201</v>
      </c>
      <c r="B2311">
        <v>6</v>
      </c>
      <c r="C2311">
        <v>46</v>
      </c>
    </row>
    <row r="2312" spans="1:3">
      <c r="A2312" t="s">
        <v>201</v>
      </c>
      <c r="B2312">
        <v>7</v>
      </c>
      <c r="C2312">
        <v>68</v>
      </c>
    </row>
    <row r="2313" spans="1:3">
      <c r="A2313" t="s">
        <v>201</v>
      </c>
      <c r="B2313">
        <v>8</v>
      </c>
      <c r="C2313">
        <v>66</v>
      </c>
    </row>
    <row r="2314" spans="1:3">
      <c r="A2314" t="s">
        <v>201</v>
      </c>
      <c r="B2314">
        <v>9</v>
      </c>
      <c r="C2314">
        <v>66</v>
      </c>
    </row>
    <row r="2315" spans="1:3">
      <c r="A2315" t="s">
        <v>201</v>
      </c>
      <c r="B2315">
        <v>10</v>
      </c>
      <c r="C2315">
        <v>72</v>
      </c>
    </row>
    <row r="2316" spans="1:3">
      <c r="A2316" t="s">
        <v>201</v>
      </c>
      <c r="B2316">
        <v>11</v>
      </c>
      <c r="C2316">
        <v>85</v>
      </c>
    </row>
    <row r="2317" spans="1:3">
      <c r="A2317" t="s">
        <v>201</v>
      </c>
      <c r="B2317">
        <v>12</v>
      </c>
      <c r="C2317">
        <v>72</v>
      </c>
    </row>
    <row r="2318" spans="1:3">
      <c r="A2318" t="s">
        <v>201</v>
      </c>
      <c r="B2318">
        <v>13</v>
      </c>
      <c r="C2318">
        <v>70</v>
      </c>
    </row>
    <row r="2319" spans="1:3">
      <c r="A2319" t="s">
        <v>201</v>
      </c>
      <c r="B2319">
        <v>14</v>
      </c>
      <c r="C2319">
        <v>71</v>
      </c>
    </row>
    <row r="2320" spans="1:3">
      <c r="A2320" t="s">
        <v>201</v>
      </c>
      <c r="B2320">
        <v>15</v>
      </c>
      <c r="C2320">
        <v>79</v>
      </c>
    </row>
    <row r="2321" spans="1:3">
      <c r="A2321" t="s">
        <v>201</v>
      </c>
      <c r="B2321">
        <v>16</v>
      </c>
      <c r="C2321">
        <v>72</v>
      </c>
    </row>
    <row r="2322" spans="1:3">
      <c r="A2322" t="s">
        <v>201</v>
      </c>
      <c r="B2322">
        <v>17</v>
      </c>
      <c r="C2322">
        <v>74</v>
      </c>
    </row>
    <row r="2323" spans="1:3">
      <c r="A2323" t="s">
        <v>201</v>
      </c>
      <c r="B2323">
        <v>18</v>
      </c>
      <c r="C2323">
        <v>76</v>
      </c>
    </row>
    <row r="2324" spans="1:3">
      <c r="A2324" t="s">
        <v>201</v>
      </c>
      <c r="B2324">
        <v>19</v>
      </c>
      <c r="C2324">
        <v>71</v>
      </c>
    </row>
    <row r="2325" spans="1:3">
      <c r="A2325" t="s">
        <v>201</v>
      </c>
      <c r="B2325">
        <v>20</v>
      </c>
      <c r="C2325">
        <v>66</v>
      </c>
    </row>
    <row r="2326" spans="1:3">
      <c r="A2326" t="s">
        <v>201</v>
      </c>
      <c r="B2326">
        <v>21</v>
      </c>
      <c r="C2326">
        <v>70</v>
      </c>
    </row>
    <row r="2327" spans="1:3">
      <c r="A2327" t="s">
        <v>201</v>
      </c>
      <c r="B2327">
        <v>22</v>
      </c>
      <c r="C2327">
        <v>54</v>
      </c>
    </row>
    <row r="2328" spans="1:3">
      <c r="A2328" t="s">
        <v>201</v>
      </c>
      <c r="B2328">
        <v>23</v>
      </c>
      <c r="C2328">
        <v>80</v>
      </c>
    </row>
    <row r="2329" spans="1:3">
      <c r="A2329" t="s">
        <v>201</v>
      </c>
      <c r="B2329">
        <v>24</v>
      </c>
      <c r="C2329">
        <v>54</v>
      </c>
    </row>
    <row r="2330" spans="1:3">
      <c r="A2330" t="s">
        <v>191</v>
      </c>
      <c r="B2330">
        <v>1</v>
      </c>
      <c r="C2330">
        <v>0</v>
      </c>
    </row>
    <row r="2331" spans="1:3">
      <c r="A2331" t="s">
        <v>191</v>
      </c>
      <c r="B2331">
        <v>2</v>
      </c>
      <c r="C2331">
        <v>0</v>
      </c>
    </row>
    <row r="2332" spans="1:3">
      <c r="A2332" t="s">
        <v>191</v>
      </c>
      <c r="B2332">
        <v>3</v>
      </c>
      <c r="C2332">
        <v>0</v>
      </c>
    </row>
    <row r="2333" spans="1:3">
      <c r="A2333" t="s">
        <v>191</v>
      </c>
      <c r="B2333">
        <v>4</v>
      </c>
      <c r="C2333">
        <v>29</v>
      </c>
    </row>
    <row r="2334" spans="1:3">
      <c r="A2334" t="s">
        <v>191</v>
      </c>
      <c r="B2334">
        <v>5</v>
      </c>
      <c r="C2334">
        <v>59</v>
      </c>
    </row>
    <row r="2335" spans="1:3">
      <c r="A2335" t="s">
        <v>191</v>
      </c>
      <c r="B2335">
        <v>6</v>
      </c>
      <c r="C2335">
        <v>71</v>
      </c>
    </row>
    <row r="2336" spans="1:3">
      <c r="A2336" t="s">
        <v>191</v>
      </c>
      <c r="B2336">
        <v>7</v>
      </c>
      <c r="C2336">
        <v>84</v>
      </c>
    </row>
    <row r="2337" spans="1:3">
      <c r="A2337" t="s">
        <v>191</v>
      </c>
      <c r="B2337">
        <v>8</v>
      </c>
      <c r="C2337">
        <v>68</v>
      </c>
    </row>
    <row r="2338" spans="1:3">
      <c r="A2338" t="s">
        <v>191</v>
      </c>
      <c r="B2338">
        <v>9</v>
      </c>
      <c r="C2338">
        <v>64</v>
      </c>
    </row>
    <row r="2339" spans="1:3">
      <c r="A2339" t="s">
        <v>191</v>
      </c>
      <c r="B2339">
        <v>10</v>
      </c>
      <c r="C2339">
        <v>76</v>
      </c>
    </row>
    <row r="2340" spans="1:3">
      <c r="A2340" t="s">
        <v>191</v>
      </c>
      <c r="B2340">
        <v>11</v>
      </c>
      <c r="C2340">
        <v>69</v>
      </c>
    </row>
    <row r="2341" spans="1:3">
      <c r="A2341" t="s">
        <v>191</v>
      </c>
      <c r="B2341">
        <v>12</v>
      </c>
      <c r="C2341">
        <v>61</v>
      </c>
    </row>
    <row r="2342" spans="1:3">
      <c r="A2342" t="s">
        <v>191</v>
      </c>
      <c r="B2342">
        <v>13</v>
      </c>
      <c r="C2342">
        <v>81</v>
      </c>
    </row>
    <row r="2343" spans="1:3">
      <c r="A2343" t="s">
        <v>191</v>
      </c>
      <c r="B2343">
        <v>14</v>
      </c>
      <c r="C2343">
        <v>77</v>
      </c>
    </row>
    <row r="2344" spans="1:3">
      <c r="A2344" t="s">
        <v>191</v>
      </c>
      <c r="B2344">
        <v>15</v>
      </c>
      <c r="C2344">
        <v>89</v>
      </c>
    </row>
    <row r="2345" spans="1:3">
      <c r="A2345" t="s">
        <v>191</v>
      </c>
      <c r="B2345">
        <v>16</v>
      </c>
      <c r="C2345">
        <v>72</v>
      </c>
    </row>
    <row r="2346" spans="1:3">
      <c r="A2346" t="s">
        <v>191</v>
      </c>
      <c r="B2346">
        <v>17</v>
      </c>
      <c r="C2346">
        <v>70</v>
      </c>
    </row>
    <row r="2347" spans="1:3">
      <c r="A2347" t="s">
        <v>191</v>
      </c>
      <c r="B2347">
        <v>18</v>
      </c>
      <c r="C2347">
        <v>70</v>
      </c>
    </row>
    <row r="2348" spans="1:3">
      <c r="A2348" t="s">
        <v>191</v>
      </c>
      <c r="B2348">
        <v>19</v>
      </c>
      <c r="C2348">
        <v>58</v>
      </c>
    </row>
    <row r="2349" spans="1:3">
      <c r="A2349" t="s">
        <v>191</v>
      </c>
      <c r="B2349">
        <v>20</v>
      </c>
      <c r="C2349">
        <v>47</v>
      </c>
    </row>
    <row r="2350" spans="1:3">
      <c r="A2350" t="s">
        <v>191</v>
      </c>
      <c r="B2350">
        <v>21</v>
      </c>
      <c r="C2350">
        <v>50</v>
      </c>
    </row>
    <row r="2351" spans="1:3">
      <c r="A2351" t="s">
        <v>191</v>
      </c>
      <c r="B2351">
        <v>22</v>
      </c>
      <c r="C2351">
        <v>40</v>
      </c>
    </row>
    <row r="2352" spans="1:3">
      <c r="A2352" t="s">
        <v>191</v>
      </c>
      <c r="B2352">
        <v>23</v>
      </c>
      <c r="C2352">
        <v>25</v>
      </c>
    </row>
    <row r="2353" spans="1:3">
      <c r="A2353" t="s">
        <v>191</v>
      </c>
      <c r="B2353">
        <v>24</v>
      </c>
      <c r="C2353">
        <v>6</v>
      </c>
    </row>
    <row r="2354" spans="1:3">
      <c r="A2354" t="s">
        <v>200</v>
      </c>
      <c r="B2354">
        <v>1</v>
      </c>
      <c r="C2354">
        <v>0</v>
      </c>
    </row>
    <row r="2355" spans="1:3">
      <c r="A2355" t="s">
        <v>200</v>
      </c>
      <c r="B2355">
        <v>2</v>
      </c>
      <c r="C2355">
        <v>0</v>
      </c>
    </row>
    <row r="2356" spans="1:3">
      <c r="A2356" t="s">
        <v>200</v>
      </c>
      <c r="B2356">
        <v>3</v>
      </c>
      <c r="C2356">
        <v>0</v>
      </c>
    </row>
    <row r="2357" spans="1:3">
      <c r="A2357" t="s">
        <v>200</v>
      </c>
      <c r="B2357">
        <v>4</v>
      </c>
      <c r="C2357">
        <v>8</v>
      </c>
    </row>
    <row r="2358" spans="1:3">
      <c r="A2358" t="s">
        <v>200</v>
      </c>
      <c r="B2358">
        <v>5</v>
      </c>
      <c r="C2358">
        <v>34</v>
      </c>
    </row>
    <row r="2359" spans="1:3">
      <c r="A2359" t="s">
        <v>200</v>
      </c>
      <c r="B2359">
        <v>6</v>
      </c>
      <c r="C2359">
        <v>58</v>
      </c>
    </row>
    <row r="2360" spans="1:3">
      <c r="A2360" t="s">
        <v>200</v>
      </c>
      <c r="B2360">
        <v>7</v>
      </c>
      <c r="C2360">
        <v>76</v>
      </c>
    </row>
    <row r="2361" spans="1:3">
      <c r="A2361" t="s">
        <v>200</v>
      </c>
      <c r="B2361">
        <v>8</v>
      </c>
      <c r="C2361">
        <v>79</v>
      </c>
    </row>
    <row r="2362" spans="1:3">
      <c r="A2362" t="s">
        <v>200</v>
      </c>
      <c r="B2362">
        <v>9</v>
      </c>
      <c r="C2362">
        <v>75</v>
      </c>
    </row>
    <row r="2363" spans="1:3">
      <c r="A2363" t="s">
        <v>200</v>
      </c>
      <c r="B2363">
        <v>10</v>
      </c>
      <c r="C2363">
        <v>70</v>
      </c>
    </row>
    <row r="2364" spans="1:3">
      <c r="A2364" t="s">
        <v>200</v>
      </c>
      <c r="B2364">
        <v>11</v>
      </c>
      <c r="C2364">
        <v>62</v>
      </c>
    </row>
    <row r="2365" spans="1:3">
      <c r="A2365" t="s">
        <v>200</v>
      </c>
      <c r="B2365">
        <v>12</v>
      </c>
      <c r="C2365">
        <v>65</v>
      </c>
    </row>
    <row r="2366" spans="1:3">
      <c r="A2366" t="s">
        <v>200</v>
      </c>
      <c r="B2366">
        <v>13</v>
      </c>
      <c r="C2366">
        <v>73</v>
      </c>
    </row>
    <row r="2367" spans="1:3">
      <c r="A2367" t="s">
        <v>200</v>
      </c>
      <c r="B2367">
        <v>14</v>
      </c>
      <c r="C2367">
        <v>77</v>
      </c>
    </row>
    <row r="2368" spans="1:3">
      <c r="A2368" t="s">
        <v>200</v>
      </c>
      <c r="B2368">
        <v>15</v>
      </c>
      <c r="C2368">
        <v>82</v>
      </c>
    </row>
    <row r="2369" spans="1:3">
      <c r="A2369" t="s">
        <v>200</v>
      </c>
      <c r="B2369">
        <v>16</v>
      </c>
      <c r="C2369">
        <v>70</v>
      </c>
    </row>
    <row r="2370" spans="1:3">
      <c r="A2370" t="s">
        <v>200</v>
      </c>
      <c r="B2370">
        <v>17</v>
      </c>
      <c r="C2370">
        <v>84</v>
      </c>
    </row>
    <row r="2371" spans="1:3">
      <c r="A2371" t="s">
        <v>200</v>
      </c>
      <c r="B2371">
        <v>18</v>
      </c>
      <c r="C2371">
        <v>72</v>
      </c>
    </row>
    <row r="2372" spans="1:3">
      <c r="A2372" t="s">
        <v>200</v>
      </c>
      <c r="B2372">
        <v>19</v>
      </c>
      <c r="C2372">
        <v>65</v>
      </c>
    </row>
    <row r="2373" spans="1:3">
      <c r="A2373" t="s">
        <v>200</v>
      </c>
      <c r="B2373">
        <v>20</v>
      </c>
      <c r="C2373">
        <v>81</v>
      </c>
    </row>
    <row r="2374" spans="1:3">
      <c r="A2374" t="s">
        <v>200</v>
      </c>
      <c r="B2374">
        <v>21</v>
      </c>
      <c r="C2374">
        <v>85</v>
      </c>
    </row>
    <row r="2375" spans="1:3">
      <c r="A2375" t="s">
        <v>200</v>
      </c>
      <c r="B2375">
        <v>22</v>
      </c>
      <c r="C2375">
        <v>49</v>
      </c>
    </row>
    <row r="2376" spans="1:3">
      <c r="A2376" t="s">
        <v>200</v>
      </c>
      <c r="B2376">
        <v>23</v>
      </c>
      <c r="C2376">
        <v>86</v>
      </c>
    </row>
    <row r="2377" spans="1:3">
      <c r="A2377" t="s">
        <v>200</v>
      </c>
      <c r="B2377">
        <v>24</v>
      </c>
      <c r="C2377">
        <v>61</v>
      </c>
    </row>
    <row r="2378" spans="1:3">
      <c r="A2378" t="s">
        <v>180</v>
      </c>
      <c r="B2378">
        <v>1</v>
      </c>
      <c r="C2378">
        <v>92</v>
      </c>
    </row>
    <row r="2379" spans="1:3">
      <c r="A2379" t="s">
        <v>180</v>
      </c>
      <c r="B2379">
        <v>2</v>
      </c>
      <c r="C2379">
        <v>22</v>
      </c>
    </row>
    <row r="2380" spans="1:3">
      <c r="A2380" t="s">
        <v>180</v>
      </c>
      <c r="B2380">
        <v>3</v>
      </c>
      <c r="C2380">
        <v>0</v>
      </c>
    </row>
    <row r="2381" spans="1:3">
      <c r="A2381" t="s">
        <v>180</v>
      </c>
      <c r="B2381">
        <v>4</v>
      </c>
      <c r="C2381">
        <v>20</v>
      </c>
    </row>
    <row r="2382" spans="1:3">
      <c r="A2382" t="s">
        <v>180</v>
      </c>
      <c r="B2382">
        <v>5</v>
      </c>
      <c r="C2382">
        <v>37</v>
      </c>
    </row>
    <row r="2383" spans="1:3">
      <c r="A2383" t="s">
        <v>180</v>
      </c>
      <c r="B2383">
        <v>6</v>
      </c>
      <c r="C2383">
        <v>57</v>
      </c>
    </row>
    <row r="2384" spans="1:3">
      <c r="A2384" t="s">
        <v>180</v>
      </c>
      <c r="B2384">
        <v>7</v>
      </c>
      <c r="C2384">
        <v>77</v>
      </c>
    </row>
    <row r="2385" spans="1:3">
      <c r="A2385" t="s">
        <v>180</v>
      </c>
      <c r="B2385">
        <v>8</v>
      </c>
      <c r="C2385">
        <v>84</v>
      </c>
    </row>
    <row r="2386" spans="1:3">
      <c r="A2386" t="s">
        <v>180</v>
      </c>
      <c r="B2386">
        <v>9</v>
      </c>
      <c r="C2386">
        <v>86</v>
      </c>
    </row>
    <row r="2387" spans="1:3">
      <c r="A2387" t="s">
        <v>180</v>
      </c>
      <c r="B2387">
        <v>10</v>
      </c>
      <c r="C2387">
        <v>87</v>
      </c>
    </row>
    <row r="2388" spans="1:3">
      <c r="A2388" t="s">
        <v>180</v>
      </c>
      <c r="B2388">
        <v>11</v>
      </c>
      <c r="C2388">
        <v>70</v>
      </c>
    </row>
    <row r="2389" spans="1:3">
      <c r="A2389" t="s">
        <v>180</v>
      </c>
      <c r="B2389">
        <v>12</v>
      </c>
      <c r="C2389">
        <v>81</v>
      </c>
    </row>
    <row r="2390" spans="1:3">
      <c r="A2390" t="s">
        <v>180</v>
      </c>
      <c r="B2390">
        <v>13</v>
      </c>
      <c r="C2390">
        <v>85</v>
      </c>
    </row>
    <row r="2391" spans="1:3">
      <c r="A2391" t="s">
        <v>180</v>
      </c>
      <c r="B2391">
        <v>14</v>
      </c>
      <c r="C2391">
        <v>84</v>
      </c>
    </row>
    <row r="2392" spans="1:3">
      <c r="A2392" t="s">
        <v>180</v>
      </c>
      <c r="B2392">
        <v>15</v>
      </c>
      <c r="C2392">
        <v>84</v>
      </c>
    </row>
    <row r="2393" spans="1:3">
      <c r="A2393" t="s">
        <v>180</v>
      </c>
      <c r="B2393">
        <v>16</v>
      </c>
      <c r="C2393">
        <v>86</v>
      </c>
    </row>
    <row r="2394" spans="1:3">
      <c r="A2394" t="s">
        <v>180</v>
      </c>
      <c r="B2394">
        <v>17</v>
      </c>
      <c r="C2394">
        <v>77</v>
      </c>
    </row>
    <row r="2395" spans="1:3">
      <c r="A2395" t="s">
        <v>180</v>
      </c>
      <c r="B2395">
        <v>18</v>
      </c>
      <c r="C2395">
        <v>83</v>
      </c>
    </row>
    <row r="2396" spans="1:3">
      <c r="A2396" t="s">
        <v>180</v>
      </c>
      <c r="B2396">
        <v>19</v>
      </c>
      <c r="C2396">
        <v>83</v>
      </c>
    </row>
    <row r="2397" spans="1:3">
      <c r="A2397" t="s">
        <v>180</v>
      </c>
      <c r="B2397">
        <v>20</v>
      </c>
      <c r="C2397">
        <v>76</v>
      </c>
    </row>
    <row r="2398" spans="1:3">
      <c r="A2398" t="s">
        <v>180</v>
      </c>
      <c r="B2398">
        <v>21</v>
      </c>
      <c r="C2398">
        <v>68</v>
      </c>
    </row>
    <row r="2399" spans="1:3">
      <c r="A2399" t="s">
        <v>180</v>
      </c>
      <c r="B2399">
        <v>22</v>
      </c>
      <c r="C2399">
        <v>79</v>
      </c>
    </row>
    <row r="2400" spans="1:3">
      <c r="A2400" t="s">
        <v>180</v>
      </c>
      <c r="B2400">
        <v>23</v>
      </c>
      <c r="C2400">
        <v>104</v>
      </c>
    </row>
    <row r="2401" spans="1:3">
      <c r="A2401" t="s">
        <v>180</v>
      </c>
      <c r="B2401">
        <v>24</v>
      </c>
      <c r="C2401">
        <v>82</v>
      </c>
    </row>
    <row r="2402" spans="1:3">
      <c r="A2402" t="s">
        <v>226</v>
      </c>
      <c r="B2402">
        <v>1</v>
      </c>
      <c r="C2402">
        <v>0</v>
      </c>
    </row>
    <row r="2403" spans="1:3">
      <c r="A2403" t="s">
        <v>226</v>
      </c>
      <c r="B2403">
        <v>2</v>
      </c>
      <c r="C2403">
        <v>0</v>
      </c>
    </row>
    <row r="2404" spans="1:3">
      <c r="A2404" t="s">
        <v>226</v>
      </c>
      <c r="B2404">
        <v>3</v>
      </c>
      <c r="C2404">
        <v>0</v>
      </c>
    </row>
    <row r="2405" spans="1:3">
      <c r="A2405" t="s">
        <v>226</v>
      </c>
      <c r="B2405">
        <v>4</v>
      </c>
      <c r="C2405">
        <v>0</v>
      </c>
    </row>
    <row r="2406" spans="1:3">
      <c r="A2406" t="s">
        <v>226</v>
      </c>
      <c r="B2406">
        <v>5</v>
      </c>
      <c r="C2406">
        <v>23</v>
      </c>
    </row>
    <row r="2407" spans="1:3">
      <c r="A2407" t="s">
        <v>226</v>
      </c>
      <c r="B2407">
        <v>6</v>
      </c>
      <c r="C2407">
        <v>27</v>
      </c>
    </row>
    <row r="2408" spans="1:3">
      <c r="A2408" t="s">
        <v>226</v>
      </c>
      <c r="B2408">
        <v>7</v>
      </c>
      <c r="C2408">
        <v>53</v>
      </c>
    </row>
    <row r="2409" spans="1:3">
      <c r="A2409" t="s">
        <v>226</v>
      </c>
      <c r="B2409">
        <v>8</v>
      </c>
      <c r="C2409">
        <v>56</v>
      </c>
    </row>
    <row r="2410" spans="1:3">
      <c r="A2410" t="s">
        <v>226</v>
      </c>
      <c r="B2410">
        <v>9</v>
      </c>
      <c r="C2410">
        <v>51</v>
      </c>
    </row>
    <row r="2411" spans="1:3">
      <c r="A2411" t="s">
        <v>226</v>
      </c>
      <c r="B2411">
        <v>10</v>
      </c>
      <c r="C2411">
        <v>58</v>
      </c>
    </row>
    <row r="2412" spans="1:3">
      <c r="A2412" t="s">
        <v>226</v>
      </c>
      <c r="B2412">
        <v>11</v>
      </c>
      <c r="C2412">
        <v>62</v>
      </c>
    </row>
    <row r="2413" spans="1:3">
      <c r="A2413" t="s">
        <v>226</v>
      </c>
      <c r="B2413">
        <v>12</v>
      </c>
      <c r="C2413">
        <v>68</v>
      </c>
    </row>
    <row r="2414" spans="1:3">
      <c r="A2414" t="s">
        <v>226</v>
      </c>
      <c r="B2414">
        <v>13</v>
      </c>
      <c r="C2414">
        <v>52</v>
      </c>
    </row>
    <row r="2415" spans="1:3">
      <c r="A2415" t="s">
        <v>226</v>
      </c>
      <c r="B2415">
        <v>14</v>
      </c>
      <c r="C2415">
        <v>62</v>
      </c>
    </row>
    <row r="2416" spans="1:3">
      <c r="A2416" t="s">
        <v>226</v>
      </c>
      <c r="B2416">
        <v>15</v>
      </c>
      <c r="C2416">
        <v>59</v>
      </c>
    </row>
    <row r="2417" spans="1:3">
      <c r="A2417" t="s">
        <v>226</v>
      </c>
      <c r="B2417">
        <v>16</v>
      </c>
      <c r="C2417">
        <v>64</v>
      </c>
    </row>
    <row r="2418" spans="1:3">
      <c r="A2418" t="s">
        <v>226</v>
      </c>
      <c r="B2418">
        <v>17</v>
      </c>
      <c r="C2418">
        <v>65</v>
      </c>
    </row>
    <row r="2419" spans="1:3">
      <c r="A2419" t="s">
        <v>226</v>
      </c>
      <c r="B2419">
        <v>18</v>
      </c>
      <c r="C2419">
        <v>56</v>
      </c>
    </row>
    <row r="2420" spans="1:3">
      <c r="A2420" t="s">
        <v>226</v>
      </c>
      <c r="B2420">
        <v>19</v>
      </c>
      <c r="C2420">
        <v>69</v>
      </c>
    </row>
    <row r="2421" spans="1:3">
      <c r="A2421" t="s">
        <v>226</v>
      </c>
      <c r="B2421">
        <v>20</v>
      </c>
      <c r="C2421">
        <v>71</v>
      </c>
    </row>
    <row r="2422" spans="1:3">
      <c r="A2422" t="s">
        <v>226</v>
      </c>
      <c r="B2422">
        <v>21</v>
      </c>
      <c r="C2422">
        <v>71</v>
      </c>
    </row>
    <row r="2423" spans="1:3">
      <c r="A2423" t="s">
        <v>226</v>
      </c>
      <c r="B2423">
        <v>22</v>
      </c>
      <c r="C2423">
        <v>39</v>
      </c>
    </row>
    <row r="2424" spans="1:3">
      <c r="A2424" t="s">
        <v>226</v>
      </c>
      <c r="B2424">
        <v>23</v>
      </c>
      <c r="C2424">
        <v>39</v>
      </c>
    </row>
    <row r="2425" spans="1:3">
      <c r="A2425" t="s">
        <v>226</v>
      </c>
      <c r="B2425">
        <v>24</v>
      </c>
      <c r="C2425">
        <v>0</v>
      </c>
    </row>
    <row r="2426" spans="1:3">
      <c r="A2426" t="s">
        <v>261</v>
      </c>
      <c r="B2426">
        <v>1</v>
      </c>
      <c r="C2426">
        <v>0</v>
      </c>
    </row>
    <row r="2427" spans="1:3">
      <c r="A2427" t="s">
        <v>261</v>
      </c>
      <c r="B2427">
        <v>2</v>
      </c>
      <c r="C2427">
        <v>0</v>
      </c>
    </row>
    <row r="2428" spans="1:3">
      <c r="A2428" t="s">
        <v>261</v>
      </c>
      <c r="B2428">
        <v>3</v>
      </c>
      <c r="C2428">
        <v>0</v>
      </c>
    </row>
    <row r="2429" spans="1:3">
      <c r="A2429" t="s">
        <v>261</v>
      </c>
      <c r="B2429">
        <v>4</v>
      </c>
      <c r="C2429">
        <v>0</v>
      </c>
    </row>
    <row r="2430" spans="1:3">
      <c r="A2430" t="s">
        <v>261</v>
      </c>
      <c r="B2430">
        <v>5</v>
      </c>
      <c r="C2430">
        <v>21</v>
      </c>
    </row>
    <row r="2431" spans="1:3">
      <c r="A2431" t="s">
        <v>261</v>
      </c>
      <c r="B2431">
        <v>6</v>
      </c>
      <c r="C2431">
        <v>16</v>
      </c>
    </row>
    <row r="2432" spans="1:3">
      <c r="A2432" t="s">
        <v>261</v>
      </c>
      <c r="B2432">
        <v>7</v>
      </c>
      <c r="C2432">
        <v>26</v>
      </c>
    </row>
    <row r="2433" spans="1:3">
      <c r="A2433" t="s">
        <v>261</v>
      </c>
      <c r="B2433">
        <v>8</v>
      </c>
      <c r="C2433">
        <v>35</v>
      </c>
    </row>
    <row r="2434" spans="1:3">
      <c r="A2434" t="s">
        <v>261</v>
      </c>
      <c r="B2434">
        <v>9</v>
      </c>
      <c r="C2434">
        <v>28</v>
      </c>
    </row>
    <row r="2435" spans="1:3">
      <c r="A2435" t="s">
        <v>261</v>
      </c>
      <c r="B2435">
        <v>10</v>
      </c>
      <c r="C2435">
        <v>22</v>
      </c>
    </row>
    <row r="2436" spans="1:3">
      <c r="A2436" t="s">
        <v>261</v>
      </c>
      <c r="B2436">
        <v>11</v>
      </c>
      <c r="C2436">
        <v>21</v>
      </c>
    </row>
    <row r="2437" spans="1:3">
      <c r="A2437" t="s">
        <v>261</v>
      </c>
      <c r="B2437">
        <v>12</v>
      </c>
      <c r="C2437">
        <v>20</v>
      </c>
    </row>
    <row r="2438" spans="1:3">
      <c r="A2438" t="s">
        <v>261</v>
      </c>
      <c r="B2438">
        <v>13</v>
      </c>
      <c r="C2438">
        <v>25</v>
      </c>
    </row>
    <row r="2439" spans="1:3">
      <c r="A2439" t="s">
        <v>261</v>
      </c>
      <c r="B2439">
        <v>14</v>
      </c>
      <c r="C2439">
        <v>25</v>
      </c>
    </row>
    <row r="2440" spans="1:3">
      <c r="A2440" t="s">
        <v>261</v>
      </c>
      <c r="B2440">
        <v>15</v>
      </c>
      <c r="C2440">
        <v>30</v>
      </c>
    </row>
    <row r="2441" spans="1:3">
      <c r="A2441" t="s">
        <v>261</v>
      </c>
      <c r="B2441">
        <v>16</v>
      </c>
      <c r="C2441">
        <v>24</v>
      </c>
    </row>
    <row r="2442" spans="1:3">
      <c r="A2442" t="s">
        <v>261</v>
      </c>
      <c r="B2442">
        <v>17</v>
      </c>
      <c r="C2442">
        <v>28</v>
      </c>
    </row>
    <row r="2443" spans="1:3">
      <c r="A2443" t="s">
        <v>261</v>
      </c>
      <c r="B2443">
        <v>18</v>
      </c>
      <c r="C2443">
        <v>19</v>
      </c>
    </row>
    <row r="2444" spans="1:3">
      <c r="A2444" t="s">
        <v>261</v>
      </c>
      <c r="B2444">
        <v>19</v>
      </c>
      <c r="C2444">
        <v>15</v>
      </c>
    </row>
    <row r="2445" spans="1:3">
      <c r="A2445" t="s">
        <v>261</v>
      </c>
      <c r="B2445">
        <v>20</v>
      </c>
      <c r="C2445">
        <v>15</v>
      </c>
    </row>
    <row r="2446" spans="1:3">
      <c r="A2446" t="s">
        <v>261</v>
      </c>
      <c r="B2446">
        <v>21</v>
      </c>
      <c r="C2446">
        <v>11</v>
      </c>
    </row>
    <row r="2447" spans="1:3">
      <c r="A2447" t="s">
        <v>261</v>
      </c>
      <c r="B2447">
        <v>22</v>
      </c>
      <c r="C2447">
        <v>6</v>
      </c>
    </row>
    <row r="2448" spans="1:3">
      <c r="A2448" t="s">
        <v>261</v>
      </c>
      <c r="B2448">
        <v>23</v>
      </c>
      <c r="C2448">
        <v>4</v>
      </c>
    </row>
    <row r="2449" spans="1:3">
      <c r="A2449" t="s">
        <v>261</v>
      </c>
      <c r="B2449">
        <v>24</v>
      </c>
      <c r="C2449">
        <v>0</v>
      </c>
    </row>
    <row r="2450" spans="1:3">
      <c r="A2450" t="s">
        <v>190</v>
      </c>
      <c r="B2450">
        <v>1</v>
      </c>
      <c r="C2450">
        <v>0</v>
      </c>
    </row>
    <row r="2451" spans="1:3">
      <c r="A2451" t="s">
        <v>190</v>
      </c>
      <c r="B2451">
        <v>2</v>
      </c>
      <c r="C2451">
        <v>0</v>
      </c>
    </row>
    <row r="2452" spans="1:3">
      <c r="A2452" t="s">
        <v>190</v>
      </c>
      <c r="B2452">
        <v>3</v>
      </c>
      <c r="C2452">
        <v>0</v>
      </c>
    </row>
    <row r="2453" spans="1:3">
      <c r="A2453" t="s">
        <v>190</v>
      </c>
      <c r="B2453">
        <v>4</v>
      </c>
      <c r="C2453">
        <v>8</v>
      </c>
    </row>
    <row r="2454" spans="1:3">
      <c r="A2454" t="s">
        <v>190</v>
      </c>
      <c r="B2454">
        <v>5</v>
      </c>
      <c r="C2454">
        <v>24</v>
      </c>
    </row>
    <row r="2455" spans="1:3">
      <c r="A2455" t="s">
        <v>190</v>
      </c>
      <c r="B2455">
        <v>6</v>
      </c>
      <c r="C2455">
        <v>54</v>
      </c>
    </row>
    <row r="2456" spans="1:3">
      <c r="A2456" t="s">
        <v>190</v>
      </c>
      <c r="B2456">
        <v>7</v>
      </c>
      <c r="C2456">
        <v>80</v>
      </c>
    </row>
    <row r="2457" spans="1:3">
      <c r="A2457" t="s">
        <v>190</v>
      </c>
      <c r="B2457">
        <v>8</v>
      </c>
      <c r="C2457">
        <v>90</v>
      </c>
    </row>
    <row r="2458" spans="1:3">
      <c r="A2458" t="s">
        <v>190</v>
      </c>
      <c r="B2458">
        <v>9</v>
      </c>
      <c r="C2458">
        <v>87</v>
      </c>
    </row>
    <row r="2459" spans="1:3">
      <c r="A2459" t="s">
        <v>190</v>
      </c>
      <c r="B2459">
        <v>10</v>
      </c>
      <c r="C2459">
        <v>77</v>
      </c>
    </row>
    <row r="2460" spans="1:3">
      <c r="A2460" t="s">
        <v>190</v>
      </c>
      <c r="B2460">
        <v>11</v>
      </c>
      <c r="C2460">
        <v>84</v>
      </c>
    </row>
    <row r="2461" spans="1:3">
      <c r="A2461" t="s">
        <v>190</v>
      </c>
      <c r="B2461">
        <v>12</v>
      </c>
      <c r="C2461">
        <v>74</v>
      </c>
    </row>
    <row r="2462" spans="1:3">
      <c r="A2462" t="s">
        <v>190</v>
      </c>
      <c r="B2462">
        <v>13</v>
      </c>
      <c r="C2462">
        <v>74</v>
      </c>
    </row>
    <row r="2463" spans="1:3">
      <c r="A2463" t="s">
        <v>190</v>
      </c>
      <c r="B2463">
        <v>14</v>
      </c>
      <c r="C2463">
        <v>64</v>
      </c>
    </row>
    <row r="2464" spans="1:3">
      <c r="A2464" t="s">
        <v>190</v>
      </c>
      <c r="B2464">
        <v>15</v>
      </c>
      <c r="C2464">
        <v>72</v>
      </c>
    </row>
    <row r="2465" spans="1:3">
      <c r="A2465" t="s">
        <v>190</v>
      </c>
      <c r="B2465">
        <v>16</v>
      </c>
      <c r="C2465">
        <v>71</v>
      </c>
    </row>
    <row r="2466" spans="1:3">
      <c r="A2466" t="s">
        <v>190</v>
      </c>
      <c r="B2466">
        <v>17</v>
      </c>
      <c r="C2466">
        <v>81</v>
      </c>
    </row>
    <row r="2467" spans="1:3">
      <c r="A2467" t="s">
        <v>190</v>
      </c>
      <c r="B2467">
        <v>18</v>
      </c>
      <c r="C2467">
        <v>87</v>
      </c>
    </row>
    <row r="2468" spans="1:3">
      <c r="A2468" t="s">
        <v>190</v>
      </c>
      <c r="B2468">
        <v>19</v>
      </c>
      <c r="C2468">
        <v>78</v>
      </c>
    </row>
    <row r="2469" spans="1:3">
      <c r="A2469" t="s">
        <v>190</v>
      </c>
      <c r="B2469">
        <v>20</v>
      </c>
      <c r="C2469">
        <v>82</v>
      </c>
    </row>
    <row r="2470" spans="1:3">
      <c r="A2470" t="s">
        <v>190</v>
      </c>
      <c r="B2470">
        <v>21</v>
      </c>
      <c r="C2470">
        <v>69</v>
      </c>
    </row>
    <row r="2471" spans="1:3">
      <c r="A2471" t="s">
        <v>190</v>
      </c>
      <c r="B2471">
        <v>22</v>
      </c>
      <c r="C2471">
        <v>66</v>
      </c>
    </row>
    <row r="2472" spans="1:3">
      <c r="A2472" t="s">
        <v>190</v>
      </c>
      <c r="B2472">
        <v>23</v>
      </c>
      <c r="C2472">
        <v>65</v>
      </c>
    </row>
    <row r="2473" spans="1:3">
      <c r="A2473" t="s">
        <v>190</v>
      </c>
      <c r="B2473">
        <v>24</v>
      </c>
      <c r="C2473">
        <v>50</v>
      </c>
    </row>
    <row r="2474" spans="1:3">
      <c r="A2474" t="s">
        <v>196</v>
      </c>
      <c r="B2474">
        <v>1</v>
      </c>
      <c r="C2474">
        <v>0</v>
      </c>
    </row>
    <row r="2475" spans="1:3">
      <c r="A2475" t="s">
        <v>196</v>
      </c>
      <c r="B2475">
        <v>2</v>
      </c>
      <c r="C2475">
        <v>0</v>
      </c>
    </row>
    <row r="2476" spans="1:3">
      <c r="A2476" t="s">
        <v>196</v>
      </c>
      <c r="B2476">
        <v>3</v>
      </c>
      <c r="C2476">
        <v>0</v>
      </c>
    </row>
    <row r="2477" spans="1:3">
      <c r="A2477" t="s">
        <v>196</v>
      </c>
      <c r="B2477">
        <v>4</v>
      </c>
      <c r="C2477">
        <v>18</v>
      </c>
    </row>
    <row r="2478" spans="1:3">
      <c r="A2478" t="s">
        <v>196</v>
      </c>
      <c r="B2478">
        <v>5</v>
      </c>
      <c r="C2478">
        <v>38</v>
      </c>
    </row>
    <row r="2479" spans="1:3">
      <c r="A2479" t="s">
        <v>196</v>
      </c>
      <c r="B2479">
        <v>6</v>
      </c>
      <c r="C2479">
        <v>54</v>
      </c>
    </row>
    <row r="2480" spans="1:3">
      <c r="A2480" t="s">
        <v>196</v>
      </c>
      <c r="B2480">
        <v>7</v>
      </c>
      <c r="C2480">
        <v>71</v>
      </c>
    </row>
    <row r="2481" spans="1:3">
      <c r="A2481" t="s">
        <v>196</v>
      </c>
      <c r="B2481">
        <v>8</v>
      </c>
      <c r="C2481">
        <v>69</v>
      </c>
    </row>
    <row r="2482" spans="1:3">
      <c r="A2482" t="s">
        <v>196</v>
      </c>
      <c r="B2482">
        <v>9</v>
      </c>
      <c r="C2482">
        <v>72</v>
      </c>
    </row>
    <row r="2483" spans="1:3">
      <c r="A2483" t="s">
        <v>196</v>
      </c>
      <c r="B2483">
        <v>10</v>
      </c>
      <c r="C2483">
        <v>70</v>
      </c>
    </row>
    <row r="2484" spans="1:3">
      <c r="A2484" t="s">
        <v>196</v>
      </c>
      <c r="B2484">
        <v>11</v>
      </c>
      <c r="C2484">
        <v>84</v>
      </c>
    </row>
    <row r="2485" spans="1:3">
      <c r="A2485" t="s">
        <v>196</v>
      </c>
      <c r="B2485">
        <v>12</v>
      </c>
      <c r="C2485">
        <v>66</v>
      </c>
    </row>
    <row r="2486" spans="1:3">
      <c r="A2486" t="s">
        <v>196</v>
      </c>
      <c r="B2486">
        <v>13</v>
      </c>
      <c r="C2486">
        <v>81</v>
      </c>
    </row>
    <row r="2487" spans="1:3">
      <c r="A2487" t="s">
        <v>196</v>
      </c>
      <c r="B2487">
        <v>14</v>
      </c>
      <c r="C2487">
        <v>87</v>
      </c>
    </row>
    <row r="2488" spans="1:3">
      <c r="A2488" t="s">
        <v>196</v>
      </c>
      <c r="B2488">
        <v>15</v>
      </c>
      <c r="C2488">
        <v>82</v>
      </c>
    </row>
    <row r="2489" spans="1:3">
      <c r="A2489" t="s">
        <v>196</v>
      </c>
      <c r="B2489">
        <v>16</v>
      </c>
      <c r="C2489">
        <v>77</v>
      </c>
    </row>
    <row r="2490" spans="1:3">
      <c r="A2490" t="s">
        <v>196</v>
      </c>
      <c r="B2490">
        <v>17</v>
      </c>
      <c r="C2490">
        <v>73</v>
      </c>
    </row>
    <row r="2491" spans="1:3">
      <c r="A2491" t="s">
        <v>196</v>
      </c>
      <c r="B2491">
        <v>18</v>
      </c>
      <c r="C2491">
        <v>80</v>
      </c>
    </row>
    <row r="2492" spans="1:3">
      <c r="A2492" t="s">
        <v>196</v>
      </c>
      <c r="B2492">
        <v>19</v>
      </c>
      <c r="C2492">
        <v>76</v>
      </c>
    </row>
    <row r="2493" spans="1:3">
      <c r="A2493" t="s">
        <v>196</v>
      </c>
      <c r="B2493">
        <v>20</v>
      </c>
      <c r="C2493">
        <v>81</v>
      </c>
    </row>
    <row r="2494" spans="1:3">
      <c r="A2494" t="s">
        <v>196</v>
      </c>
      <c r="B2494">
        <v>21</v>
      </c>
      <c r="C2494">
        <v>67</v>
      </c>
    </row>
    <row r="2495" spans="1:3">
      <c r="A2495" t="s">
        <v>196</v>
      </c>
      <c r="B2495">
        <v>22</v>
      </c>
      <c r="C2495">
        <v>63</v>
      </c>
    </row>
    <row r="2496" spans="1:3">
      <c r="A2496" t="s">
        <v>196</v>
      </c>
      <c r="B2496">
        <v>23</v>
      </c>
      <c r="C2496">
        <v>70</v>
      </c>
    </row>
    <row r="2497" spans="1:3">
      <c r="A2497" t="s">
        <v>196</v>
      </c>
      <c r="B2497">
        <v>24</v>
      </c>
      <c r="C2497">
        <v>19</v>
      </c>
    </row>
    <row r="2498" spans="1:3">
      <c r="A2498" t="s">
        <v>217</v>
      </c>
      <c r="B2498">
        <v>1</v>
      </c>
      <c r="C2498">
        <v>0</v>
      </c>
    </row>
    <row r="2499" spans="1:3">
      <c r="A2499" t="s">
        <v>217</v>
      </c>
      <c r="B2499">
        <v>2</v>
      </c>
      <c r="C2499">
        <v>0</v>
      </c>
    </row>
    <row r="2500" spans="1:3">
      <c r="A2500" t="s">
        <v>217</v>
      </c>
      <c r="B2500">
        <v>3</v>
      </c>
      <c r="C2500">
        <v>0</v>
      </c>
    </row>
    <row r="2501" spans="1:3">
      <c r="A2501" t="s">
        <v>217</v>
      </c>
      <c r="B2501">
        <v>4</v>
      </c>
      <c r="C2501">
        <v>17</v>
      </c>
    </row>
    <row r="2502" spans="1:3">
      <c r="A2502" t="s">
        <v>217</v>
      </c>
      <c r="B2502">
        <v>5</v>
      </c>
      <c r="C2502">
        <v>47</v>
      </c>
    </row>
    <row r="2503" spans="1:3">
      <c r="A2503" t="s">
        <v>217</v>
      </c>
      <c r="B2503">
        <v>6</v>
      </c>
      <c r="C2503">
        <v>54</v>
      </c>
    </row>
    <row r="2504" spans="1:3">
      <c r="A2504" t="s">
        <v>217</v>
      </c>
      <c r="B2504">
        <v>7</v>
      </c>
      <c r="C2504">
        <v>71</v>
      </c>
    </row>
    <row r="2505" spans="1:3">
      <c r="A2505" t="s">
        <v>217</v>
      </c>
      <c r="B2505">
        <v>8</v>
      </c>
      <c r="C2505">
        <v>75</v>
      </c>
    </row>
    <row r="2506" spans="1:3">
      <c r="A2506" t="s">
        <v>217</v>
      </c>
      <c r="B2506">
        <v>9</v>
      </c>
      <c r="C2506">
        <v>76</v>
      </c>
    </row>
    <row r="2507" spans="1:3">
      <c r="A2507" t="s">
        <v>217</v>
      </c>
      <c r="B2507">
        <v>10</v>
      </c>
      <c r="C2507">
        <v>69</v>
      </c>
    </row>
    <row r="2508" spans="1:3">
      <c r="A2508" t="s">
        <v>217</v>
      </c>
      <c r="B2508">
        <v>11</v>
      </c>
      <c r="C2508">
        <v>67</v>
      </c>
    </row>
    <row r="2509" spans="1:3">
      <c r="A2509" t="s">
        <v>217</v>
      </c>
      <c r="B2509">
        <v>12</v>
      </c>
      <c r="C2509">
        <v>71</v>
      </c>
    </row>
    <row r="2510" spans="1:3">
      <c r="A2510" t="s">
        <v>217</v>
      </c>
      <c r="B2510">
        <v>13</v>
      </c>
      <c r="C2510">
        <v>73</v>
      </c>
    </row>
    <row r="2511" spans="1:3">
      <c r="A2511" t="s">
        <v>217</v>
      </c>
      <c r="B2511">
        <v>14</v>
      </c>
      <c r="C2511">
        <v>68</v>
      </c>
    </row>
    <row r="2512" spans="1:3">
      <c r="A2512" t="s">
        <v>217</v>
      </c>
      <c r="B2512">
        <v>15</v>
      </c>
      <c r="C2512">
        <v>75</v>
      </c>
    </row>
    <row r="2513" spans="1:3">
      <c r="A2513" t="s">
        <v>217</v>
      </c>
      <c r="B2513">
        <v>16</v>
      </c>
      <c r="C2513">
        <v>69</v>
      </c>
    </row>
    <row r="2514" spans="1:3">
      <c r="A2514" t="s">
        <v>217</v>
      </c>
      <c r="B2514">
        <v>17</v>
      </c>
      <c r="C2514">
        <v>75</v>
      </c>
    </row>
    <row r="2515" spans="1:3">
      <c r="A2515" t="s">
        <v>217</v>
      </c>
      <c r="B2515">
        <v>18</v>
      </c>
      <c r="C2515">
        <v>72</v>
      </c>
    </row>
    <row r="2516" spans="1:3">
      <c r="A2516" t="s">
        <v>217</v>
      </c>
      <c r="B2516">
        <v>19</v>
      </c>
      <c r="C2516">
        <v>75</v>
      </c>
    </row>
    <row r="2517" spans="1:3">
      <c r="A2517" t="s">
        <v>217</v>
      </c>
      <c r="B2517">
        <v>20</v>
      </c>
      <c r="C2517">
        <v>68</v>
      </c>
    </row>
    <row r="2518" spans="1:3">
      <c r="A2518" t="s">
        <v>217</v>
      </c>
      <c r="B2518">
        <v>21</v>
      </c>
      <c r="C2518">
        <v>74</v>
      </c>
    </row>
    <row r="2519" spans="1:3">
      <c r="A2519" t="s">
        <v>217</v>
      </c>
      <c r="B2519">
        <v>22</v>
      </c>
      <c r="C2519">
        <v>72</v>
      </c>
    </row>
    <row r="2520" spans="1:3">
      <c r="A2520" t="s">
        <v>217</v>
      </c>
      <c r="B2520">
        <v>23</v>
      </c>
      <c r="C2520">
        <v>64</v>
      </c>
    </row>
    <row r="2521" spans="1:3">
      <c r="A2521" t="s">
        <v>217</v>
      </c>
      <c r="B2521">
        <v>24</v>
      </c>
      <c r="C2521">
        <v>23</v>
      </c>
    </row>
    <row r="2522" spans="1:3">
      <c r="A2522" t="s">
        <v>186</v>
      </c>
      <c r="B2522">
        <v>1</v>
      </c>
      <c r="C2522">
        <v>77</v>
      </c>
    </row>
    <row r="2523" spans="1:3">
      <c r="A2523" t="s">
        <v>186</v>
      </c>
      <c r="B2523">
        <v>2</v>
      </c>
      <c r="C2523">
        <v>19</v>
      </c>
    </row>
    <row r="2524" spans="1:3">
      <c r="A2524" t="s">
        <v>186</v>
      </c>
      <c r="B2524">
        <v>3</v>
      </c>
      <c r="C2524">
        <v>0</v>
      </c>
    </row>
    <row r="2525" spans="1:3">
      <c r="A2525" t="s">
        <v>186</v>
      </c>
      <c r="B2525">
        <v>4</v>
      </c>
      <c r="C2525">
        <v>23</v>
      </c>
    </row>
    <row r="2526" spans="1:3">
      <c r="A2526" t="s">
        <v>186</v>
      </c>
      <c r="B2526">
        <v>5</v>
      </c>
      <c r="C2526">
        <v>55</v>
      </c>
    </row>
    <row r="2527" spans="1:3">
      <c r="A2527" t="s">
        <v>186</v>
      </c>
      <c r="B2527">
        <v>6</v>
      </c>
      <c r="C2527">
        <v>73</v>
      </c>
    </row>
    <row r="2528" spans="1:3">
      <c r="A2528" t="s">
        <v>186</v>
      </c>
      <c r="B2528">
        <v>7</v>
      </c>
      <c r="C2528">
        <v>83</v>
      </c>
    </row>
    <row r="2529" spans="1:3">
      <c r="A2529" t="s">
        <v>186</v>
      </c>
      <c r="B2529">
        <v>8</v>
      </c>
      <c r="C2529">
        <v>90</v>
      </c>
    </row>
    <row r="2530" spans="1:3">
      <c r="A2530" t="s">
        <v>186</v>
      </c>
      <c r="B2530">
        <v>9</v>
      </c>
      <c r="C2530">
        <v>91</v>
      </c>
    </row>
    <row r="2531" spans="1:3">
      <c r="A2531" t="s">
        <v>186</v>
      </c>
      <c r="B2531">
        <v>10</v>
      </c>
      <c r="C2531">
        <v>84</v>
      </c>
    </row>
    <row r="2532" spans="1:3">
      <c r="A2532" t="s">
        <v>186</v>
      </c>
      <c r="B2532">
        <v>11</v>
      </c>
      <c r="C2532">
        <v>92</v>
      </c>
    </row>
    <row r="2533" spans="1:3">
      <c r="A2533" t="s">
        <v>186</v>
      </c>
      <c r="B2533">
        <v>12</v>
      </c>
      <c r="C2533">
        <v>82</v>
      </c>
    </row>
    <row r="2534" spans="1:3">
      <c r="A2534" t="s">
        <v>186</v>
      </c>
      <c r="B2534">
        <v>13</v>
      </c>
      <c r="C2534">
        <v>83</v>
      </c>
    </row>
    <row r="2535" spans="1:3">
      <c r="A2535" t="s">
        <v>186</v>
      </c>
      <c r="B2535">
        <v>14</v>
      </c>
      <c r="C2535">
        <v>87</v>
      </c>
    </row>
    <row r="2536" spans="1:3">
      <c r="A2536" t="s">
        <v>186</v>
      </c>
      <c r="B2536">
        <v>15</v>
      </c>
      <c r="C2536">
        <v>82</v>
      </c>
    </row>
    <row r="2537" spans="1:3">
      <c r="A2537" t="s">
        <v>186</v>
      </c>
      <c r="B2537">
        <v>16</v>
      </c>
      <c r="C2537">
        <v>87</v>
      </c>
    </row>
    <row r="2538" spans="1:3">
      <c r="A2538" t="s">
        <v>186</v>
      </c>
      <c r="B2538">
        <v>17</v>
      </c>
      <c r="C2538">
        <v>84</v>
      </c>
    </row>
    <row r="2539" spans="1:3">
      <c r="A2539" t="s">
        <v>186</v>
      </c>
      <c r="B2539">
        <v>18</v>
      </c>
      <c r="C2539">
        <v>91</v>
      </c>
    </row>
    <row r="2540" spans="1:3">
      <c r="A2540" t="s">
        <v>186</v>
      </c>
      <c r="B2540">
        <v>19</v>
      </c>
      <c r="C2540">
        <v>83</v>
      </c>
    </row>
    <row r="2541" spans="1:3">
      <c r="A2541" t="s">
        <v>186</v>
      </c>
      <c r="B2541">
        <v>20</v>
      </c>
      <c r="C2541">
        <v>85</v>
      </c>
    </row>
    <row r="2542" spans="1:3">
      <c r="A2542" t="s">
        <v>186</v>
      </c>
      <c r="B2542">
        <v>21</v>
      </c>
      <c r="C2542">
        <v>81</v>
      </c>
    </row>
    <row r="2543" spans="1:3">
      <c r="A2543" t="s">
        <v>186</v>
      </c>
      <c r="B2543">
        <v>22</v>
      </c>
      <c r="C2543">
        <v>87</v>
      </c>
    </row>
    <row r="2544" spans="1:3">
      <c r="A2544" t="s">
        <v>186</v>
      </c>
      <c r="B2544">
        <v>23</v>
      </c>
      <c r="C2544">
        <v>72</v>
      </c>
    </row>
    <row r="2545" spans="1:3">
      <c r="A2545" t="s">
        <v>186</v>
      </c>
      <c r="B2545">
        <v>24</v>
      </c>
      <c r="C2545">
        <v>85</v>
      </c>
    </row>
    <row r="2546" spans="1:3">
      <c r="A2546" t="s">
        <v>203</v>
      </c>
      <c r="B2546">
        <v>1</v>
      </c>
      <c r="C2546">
        <v>0</v>
      </c>
    </row>
    <row r="2547" spans="1:3">
      <c r="A2547" t="s">
        <v>203</v>
      </c>
      <c r="B2547">
        <v>2</v>
      </c>
      <c r="C2547">
        <v>0</v>
      </c>
    </row>
    <row r="2548" spans="1:3">
      <c r="A2548" t="s">
        <v>203</v>
      </c>
      <c r="B2548">
        <v>3</v>
      </c>
      <c r="C2548">
        <v>0</v>
      </c>
    </row>
    <row r="2549" spans="1:3">
      <c r="A2549" t="s">
        <v>203</v>
      </c>
      <c r="B2549">
        <v>4</v>
      </c>
      <c r="C2549">
        <v>18</v>
      </c>
    </row>
    <row r="2550" spans="1:3">
      <c r="A2550" t="s">
        <v>203</v>
      </c>
      <c r="B2550">
        <v>5</v>
      </c>
      <c r="C2550">
        <v>30</v>
      </c>
    </row>
    <row r="2551" spans="1:3">
      <c r="A2551" t="s">
        <v>203</v>
      </c>
      <c r="B2551">
        <v>6</v>
      </c>
      <c r="C2551">
        <v>55</v>
      </c>
    </row>
    <row r="2552" spans="1:3">
      <c r="A2552" t="s">
        <v>203</v>
      </c>
      <c r="B2552">
        <v>7</v>
      </c>
      <c r="C2552">
        <v>70</v>
      </c>
    </row>
    <row r="2553" spans="1:3">
      <c r="A2553" t="s">
        <v>203</v>
      </c>
      <c r="B2553">
        <v>8</v>
      </c>
      <c r="C2553">
        <v>70</v>
      </c>
    </row>
    <row r="2554" spans="1:3">
      <c r="A2554" t="s">
        <v>203</v>
      </c>
      <c r="B2554">
        <v>9</v>
      </c>
      <c r="C2554">
        <v>72</v>
      </c>
    </row>
    <row r="2555" spans="1:3">
      <c r="A2555" t="s">
        <v>203</v>
      </c>
      <c r="B2555">
        <v>10</v>
      </c>
      <c r="C2555">
        <v>47</v>
      </c>
    </row>
    <row r="2556" spans="1:3">
      <c r="A2556" t="s">
        <v>203</v>
      </c>
      <c r="B2556">
        <v>11</v>
      </c>
      <c r="C2556">
        <v>61</v>
      </c>
    </row>
    <row r="2557" spans="1:3">
      <c r="A2557" t="s">
        <v>203</v>
      </c>
      <c r="B2557">
        <v>12</v>
      </c>
      <c r="C2557">
        <v>69</v>
      </c>
    </row>
    <row r="2558" spans="1:3">
      <c r="A2558" t="s">
        <v>203</v>
      </c>
      <c r="B2558">
        <v>13</v>
      </c>
      <c r="C2558">
        <v>68</v>
      </c>
    </row>
    <row r="2559" spans="1:3">
      <c r="A2559" t="s">
        <v>203</v>
      </c>
      <c r="B2559">
        <v>14</v>
      </c>
      <c r="C2559">
        <v>65</v>
      </c>
    </row>
    <row r="2560" spans="1:3">
      <c r="A2560" t="s">
        <v>203</v>
      </c>
      <c r="B2560">
        <v>15</v>
      </c>
      <c r="C2560">
        <v>83</v>
      </c>
    </row>
    <row r="2561" spans="1:3">
      <c r="A2561" t="s">
        <v>203</v>
      </c>
      <c r="B2561">
        <v>16</v>
      </c>
      <c r="C2561">
        <v>70</v>
      </c>
    </row>
    <row r="2562" spans="1:3">
      <c r="A2562" t="s">
        <v>203</v>
      </c>
      <c r="B2562">
        <v>17</v>
      </c>
      <c r="C2562">
        <v>73</v>
      </c>
    </row>
    <row r="2563" spans="1:3">
      <c r="A2563" t="s">
        <v>203</v>
      </c>
      <c r="B2563">
        <v>18</v>
      </c>
      <c r="C2563">
        <v>57</v>
      </c>
    </row>
    <row r="2564" spans="1:3">
      <c r="A2564" t="s">
        <v>203</v>
      </c>
      <c r="B2564">
        <v>19</v>
      </c>
      <c r="C2564">
        <v>62</v>
      </c>
    </row>
    <row r="2565" spans="1:3">
      <c r="A2565" t="s">
        <v>203</v>
      </c>
      <c r="B2565">
        <v>20</v>
      </c>
      <c r="C2565">
        <v>54</v>
      </c>
    </row>
    <row r="2566" spans="1:3">
      <c r="A2566" t="s">
        <v>203</v>
      </c>
      <c r="B2566">
        <v>21</v>
      </c>
      <c r="C2566">
        <v>44</v>
      </c>
    </row>
    <row r="2567" spans="1:3">
      <c r="A2567" t="s">
        <v>203</v>
      </c>
      <c r="B2567">
        <v>22</v>
      </c>
      <c r="C2567">
        <v>47</v>
      </c>
    </row>
    <row r="2568" spans="1:3">
      <c r="A2568" t="s">
        <v>203</v>
      </c>
      <c r="B2568">
        <v>23</v>
      </c>
      <c r="C2568">
        <v>47</v>
      </c>
    </row>
    <row r="2569" spans="1:3">
      <c r="A2569" t="s">
        <v>203</v>
      </c>
      <c r="B2569">
        <v>24</v>
      </c>
      <c r="C2569">
        <v>6</v>
      </c>
    </row>
    <row r="2570" spans="1:3">
      <c r="A2570" t="s">
        <v>245</v>
      </c>
      <c r="B2570">
        <v>1</v>
      </c>
      <c r="C2570">
        <v>1</v>
      </c>
    </row>
    <row r="2571" spans="1:3">
      <c r="A2571" t="s">
        <v>245</v>
      </c>
      <c r="B2571">
        <v>2</v>
      </c>
      <c r="C2571">
        <v>4</v>
      </c>
    </row>
    <row r="2572" spans="1:3">
      <c r="A2572" t="s">
        <v>245</v>
      </c>
      <c r="B2572">
        <v>3</v>
      </c>
      <c r="C2572">
        <v>2</v>
      </c>
    </row>
    <row r="2573" spans="1:3">
      <c r="A2573" t="s">
        <v>245</v>
      </c>
      <c r="B2573">
        <v>4</v>
      </c>
      <c r="C2573">
        <v>0</v>
      </c>
    </row>
    <row r="2574" spans="1:3">
      <c r="A2574" t="s">
        <v>245</v>
      </c>
      <c r="B2574">
        <v>5</v>
      </c>
      <c r="C2574">
        <v>0</v>
      </c>
    </row>
    <row r="2575" spans="1:3">
      <c r="A2575" t="s">
        <v>245</v>
      </c>
      <c r="B2575">
        <v>6</v>
      </c>
      <c r="C2575">
        <v>4</v>
      </c>
    </row>
    <row r="2576" spans="1:3">
      <c r="A2576" t="s">
        <v>245</v>
      </c>
      <c r="B2576">
        <v>7</v>
      </c>
      <c r="C2576">
        <v>48</v>
      </c>
    </row>
    <row r="2577" spans="1:3">
      <c r="A2577" t="s">
        <v>245</v>
      </c>
      <c r="B2577">
        <v>8</v>
      </c>
      <c r="C2577">
        <v>39</v>
      </c>
    </row>
    <row r="2578" spans="1:3">
      <c r="A2578" t="s">
        <v>245</v>
      </c>
      <c r="B2578">
        <v>9</v>
      </c>
      <c r="C2578">
        <v>0</v>
      </c>
    </row>
    <row r="2579" spans="1:3">
      <c r="A2579" t="s">
        <v>245</v>
      </c>
      <c r="B2579">
        <v>10</v>
      </c>
      <c r="C2579">
        <v>0</v>
      </c>
    </row>
    <row r="2580" spans="1:3">
      <c r="A2580" t="s">
        <v>245</v>
      </c>
      <c r="B2580">
        <v>11</v>
      </c>
      <c r="C2580">
        <v>0</v>
      </c>
    </row>
    <row r="2581" spans="1:3">
      <c r="A2581" t="s">
        <v>245</v>
      </c>
      <c r="B2581">
        <v>12</v>
      </c>
      <c r="C2581">
        <v>0</v>
      </c>
    </row>
    <row r="2582" spans="1:3">
      <c r="A2582" t="s">
        <v>245</v>
      </c>
      <c r="B2582">
        <v>13</v>
      </c>
      <c r="C2582">
        <v>5</v>
      </c>
    </row>
    <row r="2583" spans="1:3">
      <c r="A2583" t="s">
        <v>245</v>
      </c>
      <c r="B2583">
        <v>14</v>
      </c>
      <c r="C2583">
        <v>5</v>
      </c>
    </row>
    <row r="2584" spans="1:3">
      <c r="A2584" t="s">
        <v>245</v>
      </c>
      <c r="B2584">
        <v>15</v>
      </c>
      <c r="C2584">
        <v>11</v>
      </c>
    </row>
    <row r="2585" spans="1:3">
      <c r="A2585" t="s">
        <v>245</v>
      </c>
      <c r="B2585">
        <v>16</v>
      </c>
      <c r="C2585">
        <v>27</v>
      </c>
    </row>
    <row r="2586" spans="1:3">
      <c r="A2586" t="s">
        <v>245</v>
      </c>
      <c r="B2586">
        <v>17</v>
      </c>
      <c r="C2586">
        <v>20</v>
      </c>
    </row>
    <row r="2587" spans="1:3">
      <c r="A2587" t="s">
        <v>245</v>
      </c>
      <c r="B2587">
        <v>18</v>
      </c>
      <c r="C2587">
        <v>18</v>
      </c>
    </row>
    <row r="2588" spans="1:3">
      <c r="A2588" t="s">
        <v>245</v>
      </c>
      <c r="B2588">
        <v>19</v>
      </c>
      <c r="C2588">
        <v>19</v>
      </c>
    </row>
    <row r="2589" spans="1:3">
      <c r="A2589" t="s">
        <v>245</v>
      </c>
      <c r="B2589">
        <v>20</v>
      </c>
      <c r="C2589">
        <v>7</v>
      </c>
    </row>
    <row r="2590" spans="1:3">
      <c r="A2590" t="s">
        <v>245</v>
      </c>
      <c r="B2590">
        <v>21</v>
      </c>
      <c r="C2590">
        <v>19</v>
      </c>
    </row>
    <row r="2591" spans="1:3">
      <c r="A2591" t="s">
        <v>245</v>
      </c>
      <c r="B2591">
        <v>22</v>
      </c>
      <c r="C2591">
        <v>18</v>
      </c>
    </row>
    <row r="2592" spans="1:3">
      <c r="A2592" t="s">
        <v>245</v>
      </c>
      <c r="B2592">
        <v>23</v>
      </c>
      <c r="C2592">
        <v>8</v>
      </c>
    </row>
    <row r="2593" spans="1:3">
      <c r="A2593" t="s">
        <v>245</v>
      </c>
      <c r="B2593">
        <v>24</v>
      </c>
      <c r="C2593">
        <v>0</v>
      </c>
    </row>
    <row r="2594" spans="1:3">
      <c r="A2594" t="s">
        <v>198</v>
      </c>
      <c r="B2594">
        <v>1</v>
      </c>
      <c r="C2594">
        <v>0</v>
      </c>
    </row>
    <row r="2595" spans="1:3">
      <c r="A2595" t="s">
        <v>198</v>
      </c>
      <c r="B2595">
        <v>2</v>
      </c>
      <c r="C2595">
        <v>0</v>
      </c>
    </row>
    <row r="2596" spans="1:3">
      <c r="A2596" t="s">
        <v>198</v>
      </c>
      <c r="B2596">
        <v>3</v>
      </c>
      <c r="C2596">
        <v>0</v>
      </c>
    </row>
    <row r="2597" spans="1:3">
      <c r="A2597" t="s">
        <v>198</v>
      </c>
      <c r="B2597">
        <v>4</v>
      </c>
      <c r="C2597">
        <v>0</v>
      </c>
    </row>
    <row r="2598" spans="1:3">
      <c r="A2598" t="s">
        <v>198</v>
      </c>
      <c r="B2598">
        <v>5</v>
      </c>
      <c r="C2598">
        <v>0</v>
      </c>
    </row>
    <row r="2599" spans="1:3">
      <c r="A2599" t="s">
        <v>198</v>
      </c>
      <c r="B2599">
        <v>6</v>
      </c>
      <c r="C2599">
        <v>1</v>
      </c>
    </row>
    <row r="2600" spans="1:3">
      <c r="A2600" t="s">
        <v>198</v>
      </c>
      <c r="B2600">
        <v>7</v>
      </c>
      <c r="C2600">
        <v>19</v>
      </c>
    </row>
    <row r="2601" spans="1:3">
      <c r="A2601" t="s">
        <v>198</v>
      </c>
      <c r="B2601">
        <v>8</v>
      </c>
      <c r="C2601">
        <v>0</v>
      </c>
    </row>
    <row r="2602" spans="1:3">
      <c r="A2602" t="s">
        <v>198</v>
      </c>
      <c r="B2602">
        <v>9</v>
      </c>
      <c r="C2602">
        <v>0</v>
      </c>
    </row>
    <row r="2603" spans="1:3">
      <c r="A2603" t="s">
        <v>198</v>
      </c>
      <c r="B2603">
        <v>10</v>
      </c>
      <c r="C2603">
        <v>0</v>
      </c>
    </row>
    <row r="2604" spans="1:3">
      <c r="A2604" t="s">
        <v>198</v>
      </c>
      <c r="B2604">
        <v>11</v>
      </c>
      <c r="C2604">
        <v>0</v>
      </c>
    </row>
    <row r="2605" spans="1:3">
      <c r="A2605" t="s">
        <v>198</v>
      </c>
      <c r="B2605">
        <v>12</v>
      </c>
      <c r="C2605">
        <v>0</v>
      </c>
    </row>
    <row r="2606" spans="1:3">
      <c r="A2606" t="s">
        <v>198</v>
      </c>
      <c r="B2606">
        <v>13</v>
      </c>
      <c r="C2606">
        <v>7</v>
      </c>
    </row>
    <row r="2607" spans="1:3">
      <c r="A2607" t="s">
        <v>198</v>
      </c>
      <c r="B2607">
        <v>14</v>
      </c>
      <c r="C2607">
        <v>5</v>
      </c>
    </row>
    <row r="2608" spans="1:3">
      <c r="A2608" t="s">
        <v>198</v>
      </c>
      <c r="B2608">
        <v>15</v>
      </c>
      <c r="C2608">
        <v>19</v>
      </c>
    </row>
    <row r="2609" spans="1:3">
      <c r="A2609" t="s">
        <v>198</v>
      </c>
      <c r="B2609">
        <v>16</v>
      </c>
      <c r="C2609">
        <v>86</v>
      </c>
    </row>
    <row r="2610" spans="1:3">
      <c r="A2610" t="s">
        <v>198</v>
      </c>
      <c r="B2610">
        <v>17</v>
      </c>
      <c r="C2610">
        <v>18</v>
      </c>
    </row>
    <row r="2611" spans="1:3">
      <c r="A2611" t="s">
        <v>198</v>
      </c>
      <c r="B2611">
        <v>18</v>
      </c>
      <c r="C2611">
        <v>23</v>
      </c>
    </row>
    <row r="2612" spans="1:3">
      <c r="A2612" t="s">
        <v>198</v>
      </c>
      <c r="B2612">
        <v>19</v>
      </c>
      <c r="C2612">
        <v>23</v>
      </c>
    </row>
    <row r="2613" spans="1:3">
      <c r="A2613" t="s">
        <v>198</v>
      </c>
      <c r="B2613">
        <v>20</v>
      </c>
      <c r="C2613">
        <v>1</v>
      </c>
    </row>
    <row r="2614" spans="1:3">
      <c r="A2614" t="s">
        <v>198</v>
      </c>
      <c r="B2614">
        <v>21</v>
      </c>
      <c r="C2614">
        <v>17</v>
      </c>
    </row>
    <row r="2615" spans="1:3">
      <c r="A2615" t="s">
        <v>198</v>
      </c>
      <c r="B2615">
        <v>22</v>
      </c>
      <c r="C2615">
        <v>7</v>
      </c>
    </row>
    <row r="2616" spans="1:3">
      <c r="A2616" t="s">
        <v>198</v>
      </c>
      <c r="B2616">
        <v>23</v>
      </c>
      <c r="C2616">
        <v>4</v>
      </c>
    </row>
    <row r="2617" spans="1:3">
      <c r="A2617" t="s">
        <v>198</v>
      </c>
      <c r="B2617">
        <v>24</v>
      </c>
      <c r="C26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6667-1441-4D5E-AD29-DC10D88FAFC7}">
  <dimension ref="A1:X13"/>
  <sheetViews>
    <sheetView topLeftCell="H1" workbookViewId="0">
      <selection activeCell="T1" sqref="T1:X8"/>
    </sheetView>
  </sheetViews>
  <sheetFormatPr defaultRowHeight="14.5"/>
  <cols>
    <col min="1" max="1" width="5.36328125" style="29" bestFit="1" customWidth="1"/>
    <col min="2" max="2" width="7.7265625" style="38" customWidth="1"/>
    <col min="3" max="12" width="7.7265625" style="29" customWidth="1"/>
    <col min="13" max="13" width="7.7265625" style="38" customWidth="1"/>
    <col min="14" max="18" width="7.7265625" style="29" customWidth="1"/>
    <col min="19" max="19" width="8.7265625" style="2"/>
    <col min="20" max="21" width="9.453125" style="40" bestFit="1" customWidth="1"/>
    <col min="22" max="23" width="8.7265625" style="29"/>
    <col min="24" max="16384" width="8.7265625" style="2"/>
  </cols>
  <sheetData>
    <row r="1" spans="1:24" s="25" customFormat="1" ht="43.5">
      <c r="A1" s="28" t="s">
        <v>19</v>
      </c>
      <c r="B1" s="36" t="s">
        <v>312</v>
      </c>
      <c r="C1" s="30" t="s">
        <v>313</v>
      </c>
      <c r="D1" s="30" t="s">
        <v>314</v>
      </c>
      <c r="E1" s="30" t="s">
        <v>315</v>
      </c>
      <c r="F1" s="30" t="s">
        <v>316</v>
      </c>
      <c r="G1" s="30" t="s">
        <v>317</v>
      </c>
      <c r="H1" s="30" t="s">
        <v>318</v>
      </c>
      <c r="I1" s="30" t="s">
        <v>319</v>
      </c>
      <c r="J1" s="30" t="s">
        <v>320</v>
      </c>
      <c r="K1" s="30" t="s">
        <v>321</v>
      </c>
      <c r="L1" s="30" t="s">
        <v>322</v>
      </c>
      <c r="M1" s="36" t="s">
        <v>323</v>
      </c>
      <c r="N1" s="30" t="s">
        <v>324</v>
      </c>
      <c r="O1" s="30" t="s">
        <v>325</v>
      </c>
      <c r="P1" s="30" t="s">
        <v>326</v>
      </c>
      <c r="Q1" s="30" t="s">
        <v>327</v>
      </c>
      <c r="R1" s="30" t="s">
        <v>328</v>
      </c>
      <c r="T1" s="27" t="s">
        <v>343</v>
      </c>
      <c r="U1" s="27" t="s">
        <v>344</v>
      </c>
      <c r="V1" s="28" t="s">
        <v>341</v>
      </c>
      <c r="W1" s="28" t="s">
        <v>342</v>
      </c>
      <c r="X1" s="13" t="s">
        <v>345</v>
      </c>
    </row>
    <row r="2" spans="1:24">
      <c r="A2" s="26">
        <v>1</v>
      </c>
      <c r="B2" s="37">
        <v>4908</v>
      </c>
      <c r="C2" s="26">
        <v>4820</v>
      </c>
      <c r="D2" s="26">
        <v>4950</v>
      </c>
      <c r="E2" s="26">
        <v>5111</v>
      </c>
      <c r="F2" s="26">
        <v>5463</v>
      </c>
      <c r="G2" s="26">
        <v>5722</v>
      </c>
      <c r="H2" s="26">
        <v>6006</v>
      </c>
      <c r="I2" s="26">
        <v>6653</v>
      </c>
      <c r="J2" s="26">
        <v>7201</v>
      </c>
      <c r="K2" s="26">
        <v>7374</v>
      </c>
      <c r="L2" s="26">
        <v>7055</v>
      </c>
      <c r="M2" s="37">
        <v>7195</v>
      </c>
      <c r="N2" s="26">
        <v>6846</v>
      </c>
      <c r="O2" s="26">
        <v>7288</v>
      </c>
      <c r="P2" s="26">
        <v>7737</v>
      </c>
      <c r="Q2" s="26">
        <v>8046</v>
      </c>
      <c r="R2" s="26">
        <v>7450</v>
      </c>
      <c r="T2" s="39" t="s">
        <v>312</v>
      </c>
      <c r="U2" s="39" t="s">
        <v>323</v>
      </c>
      <c r="V2" s="26">
        <v>4908</v>
      </c>
      <c r="W2" s="26">
        <v>4577</v>
      </c>
      <c r="X2" s="41">
        <f>1-(V2/W2)</f>
        <v>-7.2318112300633564E-2</v>
      </c>
    </row>
    <row r="3" spans="1:24">
      <c r="A3" s="26">
        <v>2</v>
      </c>
      <c r="B3" s="37">
        <v>5141</v>
      </c>
      <c r="C3" s="26">
        <v>4863</v>
      </c>
      <c r="D3" s="26">
        <v>4757</v>
      </c>
      <c r="E3" s="26">
        <v>4922</v>
      </c>
      <c r="F3" s="26">
        <v>5082</v>
      </c>
      <c r="G3" s="26">
        <v>5428</v>
      </c>
      <c r="H3" s="26">
        <v>5699</v>
      </c>
      <c r="I3" s="26">
        <v>5918</v>
      </c>
      <c r="J3" s="26">
        <v>6636</v>
      </c>
      <c r="K3" s="26">
        <v>7168</v>
      </c>
      <c r="L3" s="26">
        <v>7298</v>
      </c>
      <c r="M3" s="37">
        <v>6936</v>
      </c>
      <c r="N3" s="26">
        <v>7050</v>
      </c>
      <c r="O3" s="26">
        <v>6810</v>
      </c>
      <c r="P3" s="26">
        <v>7565</v>
      </c>
      <c r="Q3" s="26">
        <v>7698</v>
      </c>
      <c r="R3" s="26">
        <v>7817</v>
      </c>
      <c r="T3" s="39" t="s">
        <v>313</v>
      </c>
      <c r="U3" s="39" t="s">
        <v>324</v>
      </c>
      <c r="V3" s="26">
        <v>4820</v>
      </c>
      <c r="W3" s="26">
        <v>4624</v>
      </c>
      <c r="X3" s="41">
        <f t="shared" ref="X3:X7" si="0">1-(V3/W3)</f>
        <v>-4.2387543252595083E-2</v>
      </c>
    </row>
    <row r="4" spans="1:24">
      <c r="A4" s="26">
        <v>3</v>
      </c>
      <c r="B4" s="37">
        <v>5382</v>
      </c>
      <c r="C4" s="26">
        <v>5126</v>
      </c>
      <c r="D4" s="26">
        <v>4820</v>
      </c>
      <c r="E4" s="26">
        <v>4736</v>
      </c>
      <c r="F4" s="26">
        <v>4924</v>
      </c>
      <c r="G4" s="26">
        <v>5093</v>
      </c>
      <c r="H4" s="26">
        <v>5402</v>
      </c>
      <c r="I4" s="26">
        <v>5665</v>
      </c>
      <c r="J4" s="26">
        <v>5927</v>
      </c>
      <c r="K4" s="26">
        <v>6650</v>
      </c>
      <c r="L4" s="26">
        <v>7099</v>
      </c>
      <c r="M4" s="37">
        <v>7252</v>
      </c>
      <c r="N4" s="26">
        <v>6970</v>
      </c>
      <c r="O4" s="26">
        <v>7124</v>
      </c>
      <c r="P4" s="26">
        <v>7168</v>
      </c>
      <c r="Q4" s="26">
        <v>7539</v>
      </c>
      <c r="R4" s="26">
        <v>7739</v>
      </c>
      <c r="T4" s="39" t="s">
        <v>314</v>
      </c>
      <c r="U4" s="39" t="s">
        <v>325</v>
      </c>
      <c r="V4" s="26">
        <v>4950</v>
      </c>
      <c r="W4" s="26">
        <v>4851</v>
      </c>
      <c r="X4" s="41">
        <f t="shared" si="0"/>
        <v>-2.0408163265306145E-2</v>
      </c>
    </row>
    <row r="5" spans="1:24">
      <c r="A5" s="26">
        <v>4</v>
      </c>
      <c r="B5" s="37">
        <v>5434</v>
      </c>
      <c r="C5" s="26">
        <v>5395</v>
      </c>
      <c r="D5" s="26">
        <v>5093</v>
      </c>
      <c r="E5" s="26">
        <v>4800</v>
      </c>
      <c r="F5" s="26">
        <v>4725</v>
      </c>
      <c r="G5" s="26">
        <v>4873</v>
      </c>
      <c r="H5" s="26">
        <v>5095</v>
      </c>
      <c r="I5" s="26">
        <v>5338</v>
      </c>
      <c r="J5" s="26">
        <v>5628</v>
      </c>
      <c r="K5" s="26">
        <v>5911</v>
      </c>
      <c r="L5" s="26">
        <v>6581</v>
      </c>
      <c r="M5" s="37">
        <v>7131</v>
      </c>
      <c r="N5" s="26">
        <v>7273</v>
      </c>
      <c r="O5" s="26">
        <v>6976</v>
      </c>
      <c r="P5" s="26">
        <v>7471</v>
      </c>
      <c r="Q5" s="26">
        <v>7161</v>
      </c>
      <c r="R5" s="26">
        <v>7616</v>
      </c>
      <c r="T5" s="39" t="s">
        <v>315</v>
      </c>
      <c r="U5" s="39" t="s">
        <v>326</v>
      </c>
      <c r="V5" s="26">
        <v>5111</v>
      </c>
      <c r="W5" s="26">
        <v>4821</v>
      </c>
      <c r="X5" s="41">
        <f t="shared" si="0"/>
        <v>-6.0153495125492729E-2</v>
      </c>
    </row>
    <row r="6" spans="1:24">
      <c r="A6" s="26">
        <v>5</v>
      </c>
      <c r="B6" s="37">
        <v>5169</v>
      </c>
      <c r="C6" s="26">
        <v>5450</v>
      </c>
      <c r="D6" s="26">
        <v>5453</v>
      </c>
      <c r="E6" s="26">
        <v>5270</v>
      </c>
      <c r="F6" s="26">
        <v>4964</v>
      </c>
      <c r="G6" s="26">
        <v>4899</v>
      </c>
      <c r="H6" s="26">
        <v>5064</v>
      </c>
      <c r="I6" s="26">
        <v>5243</v>
      </c>
      <c r="J6" s="26">
        <v>5513</v>
      </c>
      <c r="K6" s="26">
        <v>5765</v>
      </c>
      <c r="L6" s="26">
        <v>5990</v>
      </c>
      <c r="M6" s="37">
        <v>6762</v>
      </c>
      <c r="N6" s="26">
        <v>7229</v>
      </c>
      <c r="O6" s="26">
        <v>7353</v>
      </c>
      <c r="P6" s="26">
        <v>7452</v>
      </c>
      <c r="Q6" s="26">
        <v>7735</v>
      </c>
      <c r="R6" s="26">
        <v>7432</v>
      </c>
      <c r="T6" s="39" t="s">
        <v>316</v>
      </c>
      <c r="U6" s="39" t="s">
        <v>327</v>
      </c>
      <c r="V6" s="26">
        <v>5463</v>
      </c>
      <c r="W6" s="26">
        <v>5152</v>
      </c>
      <c r="X6" s="41">
        <f t="shared" si="0"/>
        <v>-6.0364906832298226E-2</v>
      </c>
    </row>
    <row r="7" spans="1:24">
      <c r="A7" s="26">
        <v>6</v>
      </c>
      <c r="B7" s="37">
        <v>5648</v>
      </c>
      <c r="C7" s="26">
        <v>5231</v>
      </c>
      <c r="D7" s="26">
        <v>5499</v>
      </c>
      <c r="E7" s="26">
        <v>5525</v>
      </c>
      <c r="F7" s="26">
        <v>5225</v>
      </c>
      <c r="G7" s="26">
        <v>4907</v>
      </c>
      <c r="H7" s="26">
        <v>4864</v>
      </c>
      <c r="I7" s="26">
        <v>5083</v>
      </c>
      <c r="J7" s="26">
        <v>5192</v>
      </c>
      <c r="K7" s="26">
        <v>5484</v>
      </c>
      <c r="L7" s="26">
        <v>5752</v>
      </c>
      <c r="M7" s="37">
        <v>5979</v>
      </c>
      <c r="N7" s="26">
        <v>6683</v>
      </c>
      <c r="O7" s="26">
        <v>7200</v>
      </c>
      <c r="P7" s="26">
        <v>7747</v>
      </c>
      <c r="Q7" s="26">
        <v>7504</v>
      </c>
      <c r="R7" s="26">
        <v>7644</v>
      </c>
      <c r="T7" s="39" t="s">
        <v>317</v>
      </c>
      <c r="U7" s="39" t="s">
        <v>328</v>
      </c>
      <c r="V7" s="26">
        <v>5722</v>
      </c>
      <c r="W7" s="26">
        <v>5201</v>
      </c>
      <c r="X7" s="41">
        <f t="shared" si="0"/>
        <v>-0.10017304364545287</v>
      </c>
    </row>
    <row r="8" spans="1:24">
      <c r="A8" s="26">
        <v>7</v>
      </c>
      <c r="B8" s="37">
        <v>6009</v>
      </c>
      <c r="C8" s="26">
        <v>5711</v>
      </c>
      <c r="D8" s="26">
        <v>5257</v>
      </c>
      <c r="E8" s="26">
        <v>5508</v>
      </c>
      <c r="F8" s="26">
        <v>5487</v>
      </c>
      <c r="G8" s="26">
        <v>5202</v>
      </c>
      <c r="H8" s="26">
        <v>4925</v>
      </c>
      <c r="I8" s="26">
        <v>4801</v>
      </c>
      <c r="J8" s="26">
        <v>5006</v>
      </c>
      <c r="K8" s="26">
        <v>5164</v>
      </c>
      <c r="L8" s="26">
        <v>5432</v>
      </c>
      <c r="M8" s="37">
        <v>5682</v>
      </c>
      <c r="N8" s="26">
        <v>5936</v>
      </c>
      <c r="O8" s="26">
        <v>6738</v>
      </c>
      <c r="P8" s="26">
        <v>7522</v>
      </c>
      <c r="Q8" s="26">
        <v>7787</v>
      </c>
      <c r="R8" s="26">
        <v>7505</v>
      </c>
      <c r="T8" s="60" t="s">
        <v>346</v>
      </c>
      <c r="U8" s="61"/>
      <c r="V8" s="61"/>
      <c r="W8" s="62"/>
      <c r="X8" s="41">
        <f>AVERAGE(X2:X7)</f>
        <v>-5.930087740362977E-2</v>
      </c>
    </row>
    <row r="9" spans="1:24">
      <c r="A9" s="26">
        <v>8</v>
      </c>
      <c r="B9" s="37">
        <v>5920</v>
      </c>
      <c r="C9" s="26">
        <v>6104</v>
      </c>
      <c r="D9" s="26">
        <v>5688</v>
      </c>
      <c r="E9" s="26">
        <v>5258</v>
      </c>
      <c r="F9" s="26">
        <v>5487</v>
      </c>
      <c r="G9" s="26">
        <v>5405</v>
      </c>
      <c r="H9" s="26">
        <v>5133</v>
      </c>
      <c r="I9" s="26">
        <v>4869</v>
      </c>
      <c r="J9" s="26">
        <v>4768</v>
      </c>
      <c r="K9" s="26">
        <v>4937</v>
      </c>
      <c r="L9" s="26">
        <v>5085</v>
      </c>
      <c r="M9" s="37">
        <v>5457</v>
      </c>
      <c r="N9" s="26">
        <v>5690</v>
      </c>
      <c r="O9" s="26">
        <v>5900</v>
      </c>
      <c r="P9" s="26">
        <v>6946</v>
      </c>
      <c r="Q9" s="26">
        <v>7502</v>
      </c>
      <c r="R9" s="26">
        <v>7771</v>
      </c>
    </row>
    <row r="10" spans="1:24">
      <c r="A10" s="26">
        <v>9</v>
      </c>
      <c r="B10" s="37">
        <v>6766</v>
      </c>
      <c r="C10" s="26">
        <v>6130</v>
      </c>
      <c r="D10" s="26">
        <v>6305</v>
      </c>
      <c r="E10" s="26">
        <v>6067</v>
      </c>
      <c r="F10" s="26">
        <v>5397</v>
      </c>
      <c r="G10" s="26">
        <v>5598</v>
      </c>
      <c r="H10" s="26">
        <v>5486</v>
      </c>
      <c r="I10" s="26">
        <v>5150</v>
      </c>
      <c r="J10" s="26">
        <v>4940</v>
      </c>
      <c r="K10" s="26">
        <v>4807</v>
      </c>
      <c r="L10" s="26">
        <v>5001</v>
      </c>
      <c r="M10" s="37">
        <v>5172</v>
      </c>
      <c r="N10" s="26">
        <v>5551</v>
      </c>
      <c r="O10" s="26">
        <v>5811</v>
      </c>
      <c r="P10" s="26">
        <v>6374</v>
      </c>
      <c r="Q10" s="26">
        <v>7150</v>
      </c>
      <c r="R10" s="26">
        <v>7679</v>
      </c>
    </row>
    <row r="11" spans="1:24">
      <c r="A11" s="26">
        <v>10</v>
      </c>
      <c r="B11" s="37">
        <v>7316</v>
      </c>
      <c r="C11" s="26">
        <v>6845</v>
      </c>
      <c r="D11" s="26">
        <v>6151</v>
      </c>
      <c r="E11" s="26">
        <v>6157</v>
      </c>
      <c r="F11" s="26">
        <v>5844</v>
      </c>
      <c r="G11" s="26">
        <v>5402</v>
      </c>
      <c r="H11" s="26">
        <v>5517</v>
      </c>
      <c r="I11" s="26">
        <v>5424</v>
      </c>
      <c r="J11" s="26">
        <v>5131</v>
      </c>
      <c r="K11" s="26">
        <v>4878</v>
      </c>
      <c r="L11" s="26">
        <v>4759</v>
      </c>
      <c r="M11" s="37">
        <v>5039</v>
      </c>
      <c r="N11" s="26">
        <v>5185</v>
      </c>
      <c r="O11" s="26">
        <v>5656</v>
      </c>
      <c r="P11" s="26">
        <v>6164</v>
      </c>
      <c r="Q11" s="26">
        <v>6623</v>
      </c>
      <c r="R11" s="26">
        <v>7230</v>
      </c>
    </row>
    <row r="12" spans="1:24">
      <c r="A12" s="26">
        <v>11</v>
      </c>
      <c r="B12" s="37">
        <v>7442</v>
      </c>
      <c r="C12" s="26">
        <v>7062</v>
      </c>
      <c r="D12" s="26">
        <v>6360</v>
      </c>
      <c r="E12" s="26">
        <v>5813</v>
      </c>
      <c r="F12" s="26">
        <v>6048</v>
      </c>
      <c r="G12" s="26">
        <v>5682</v>
      </c>
      <c r="H12" s="26">
        <v>5143</v>
      </c>
      <c r="I12" s="26">
        <v>5238</v>
      </c>
      <c r="J12" s="26">
        <v>5102</v>
      </c>
      <c r="K12" s="26">
        <v>4853</v>
      </c>
      <c r="L12" s="26">
        <v>4572</v>
      </c>
      <c r="M12" s="37">
        <v>4494</v>
      </c>
      <c r="N12" s="26">
        <v>4749</v>
      </c>
      <c r="O12" s="26">
        <v>4691</v>
      </c>
      <c r="P12" s="26">
        <v>5050</v>
      </c>
      <c r="Q12" s="26">
        <v>5205</v>
      </c>
      <c r="R12" s="26">
        <v>5765</v>
      </c>
    </row>
    <row r="13" spans="1:24">
      <c r="A13" s="26">
        <v>12</v>
      </c>
      <c r="B13" s="37">
        <v>7182</v>
      </c>
      <c r="C13" s="26">
        <v>7153</v>
      </c>
      <c r="D13" s="26">
        <v>6852</v>
      </c>
      <c r="E13" s="26">
        <v>6387</v>
      </c>
      <c r="F13" s="26">
        <v>5870</v>
      </c>
      <c r="G13" s="26">
        <v>5809</v>
      </c>
      <c r="H13" s="26">
        <v>5615</v>
      </c>
      <c r="I13" s="26">
        <v>5051</v>
      </c>
      <c r="J13" s="26">
        <v>5136</v>
      </c>
      <c r="K13" s="26">
        <v>5005</v>
      </c>
      <c r="L13" s="26">
        <v>4793</v>
      </c>
      <c r="M13" s="37">
        <v>4577</v>
      </c>
      <c r="N13" s="26">
        <v>4624</v>
      </c>
      <c r="O13" s="26">
        <v>4851</v>
      </c>
      <c r="P13" s="26">
        <v>4821</v>
      </c>
      <c r="Q13" s="26">
        <v>5152</v>
      </c>
      <c r="R13" s="26">
        <v>5201</v>
      </c>
    </row>
  </sheetData>
  <mergeCells count="1">
    <mergeCell ref="T8:W8"/>
  </mergeCells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7CB8-278D-488C-B4E0-07FE14777717}">
  <dimension ref="A1:G19"/>
  <sheetViews>
    <sheetView workbookViewId="0">
      <selection sqref="A1:A1048576"/>
    </sheetView>
  </sheetViews>
  <sheetFormatPr defaultRowHeight="14.5"/>
  <cols>
    <col min="1" max="1" width="13.1796875" style="31" customWidth="1"/>
    <col min="2" max="4" width="8.7265625" style="1"/>
  </cols>
  <sheetData>
    <row r="1" spans="1:7">
      <c r="A1" s="65" t="s">
        <v>329</v>
      </c>
      <c r="B1" s="67" t="s">
        <v>340</v>
      </c>
      <c r="C1" s="68"/>
      <c r="D1" s="63" t="s">
        <v>351</v>
      </c>
    </row>
    <row r="2" spans="1:7">
      <c r="A2" s="66"/>
      <c r="B2" s="49">
        <v>6</v>
      </c>
      <c r="C2" s="49">
        <v>7</v>
      </c>
      <c r="D2" s="64"/>
      <c r="E2" t="s">
        <v>350</v>
      </c>
    </row>
    <row r="3" spans="1:7">
      <c r="A3" s="33" t="s">
        <v>330</v>
      </c>
      <c r="B3" s="34">
        <v>1857</v>
      </c>
      <c r="C3" s="34">
        <v>28403</v>
      </c>
      <c r="D3" s="35">
        <v>6.1368142762723066E-2</v>
      </c>
      <c r="E3" s="1">
        <v>30260</v>
      </c>
    </row>
    <row r="4" spans="1:7">
      <c r="A4" s="33" t="s">
        <v>328</v>
      </c>
      <c r="B4" s="34">
        <v>2454</v>
      </c>
      <c r="C4" s="34">
        <v>29548</v>
      </c>
      <c r="D4" s="35">
        <v>7.6682707330791827E-2</v>
      </c>
      <c r="E4" s="1">
        <v>32002</v>
      </c>
    </row>
    <row r="5" spans="1:7">
      <c r="A5" s="33" t="s">
        <v>327</v>
      </c>
      <c r="B5" s="34">
        <v>2533</v>
      </c>
      <c r="C5" s="34">
        <v>30559</v>
      </c>
      <c r="D5" s="35">
        <v>7.6544179862202341E-2</v>
      </c>
      <c r="E5" s="1">
        <v>33092</v>
      </c>
    </row>
    <row r="6" spans="1:7">
      <c r="A6" s="33" t="s">
        <v>326</v>
      </c>
      <c r="B6" s="34">
        <v>2637</v>
      </c>
      <c r="C6" s="34">
        <v>30743</v>
      </c>
      <c r="D6" s="35">
        <v>7.8999400838825645E-2</v>
      </c>
      <c r="E6" s="1">
        <v>33380</v>
      </c>
    </row>
    <row r="7" spans="1:7">
      <c r="A7" s="33" t="s">
        <v>325</v>
      </c>
      <c r="B7" s="34">
        <v>2253</v>
      </c>
      <c r="C7" s="34">
        <v>28621</v>
      </c>
      <c r="D7" s="35">
        <v>7.2974023450152234E-2</v>
      </c>
      <c r="E7" s="1">
        <v>30874</v>
      </c>
    </row>
    <row r="8" spans="1:7">
      <c r="A8" s="33" t="s">
        <v>324</v>
      </c>
      <c r="B8" s="34">
        <v>2224</v>
      </c>
      <c r="C8" s="34">
        <v>27618</v>
      </c>
      <c r="D8" s="35">
        <v>7.4525836069968501E-2</v>
      </c>
      <c r="E8" s="1">
        <v>29842</v>
      </c>
    </row>
    <row r="9" spans="1:7">
      <c r="A9" s="33" t="s">
        <v>323</v>
      </c>
      <c r="B9" s="34">
        <v>2217</v>
      </c>
      <c r="C9" s="34">
        <v>28266</v>
      </c>
      <c r="D9" s="35">
        <v>7.2729062100186995E-2</v>
      </c>
      <c r="E9" s="1">
        <v>30483</v>
      </c>
      <c r="G9" s="32"/>
    </row>
    <row r="10" spans="1:7">
      <c r="A10" s="33" t="s">
        <v>322</v>
      </c>
      <c r="B10" s="34">
        <v>957</v>
      </c>
      <c r="C10" s="34">
        <v>28354</v>
      </c>
      <c r="D10" s="35">
        <v>3.2649858414929546E-2</v>
      </c>
      <c r="E10" s="1">
        <v>29311</v>
      </c>
    </row>
    <row r="11" spans="1:7">
      <c r="A11" s="33" t="s">
        <v>321</v>
      </c>
      <c r="B11" s="34">
        <v>858</v>
      </c>
      <c r="C11" s="34">
        <v>29619</v>
      </c>
      <c r="D11" s="35">
        <v>2.8152377202480559E-2</v>
      </c>
      <c r="E11" s="1">
        <v>30477</v>
      </c>
    </row>
    <row r="12" spans="1:7">
      <c r="A12" s="33" t="s">
        <v>320</v>
      </c>
      <c r="B12" s="34">
        <v>1079</v>
      </c>
      <c r="C12" s="34">
        <v>30378</v>
      </c>
      <c r="D12" s="35">
        <v>3.430079155672823E-2</v>
      </c>
      <c r="E12" s="1">
        <v>31457</v>
      </c>
    </row>
    <row r="13" spans="1:7">
      <c r="A13" s="33" t="s">
        <v>319</v>
      </c>
      <c r="B13" s="34">
        <v>1219</v>
      </c>
      <c r="C13" s="34">
        <v>28958</v>
      </c>
      <c r="D13" s="35">
        <v>4.0395002816714716E-2</v>
      </c>
      <c r="E13" s="1">
        <v>30177</v>
      </c>
    </row>
    <row r="14" spans="1:7">
      <c r="A14" s="33" t="s">
        <v>318</v>
      </c>
      <c r="B14" s="34">
        <v>1350</v>
      </c>
      <c r="C14" s="34">
        <v>27054</v>
      </c>
      <c r="D14" s="35">
        <v>4.7528517110266157E-2</v>
      </c>
      <c r="E14" s="1">
        <v>28404</v>
      </c>
    </row>
    <row r="15" spans="1:7">
      <c r="A15" s="33" t="s">
        <v>317</v>
      </c>
      <c r="B15" s="34">
        <v>1393</v>
      </c>
      <c r="C15" s="34">
        <v>26749</v>
      </c>
      <c r="D15" s="35">
        <v>4.9498969511761783E-2</v>
      </c>
      <c r="E15" s="1">
        <v>28142</v>
      </c>
    </row>
    <row r="16" spans="1:7">
      <c r="A16" s="33" t="s">
        <v>316</v>
      </c>
      <c r="B16" s="34">
        <v>1690</v>
      </c>
      <c r="C16" s="34">
        <v>26732</v>
      </c>
      <c r="D16" s="35">
        <v>5.9460980930265285E-2</v>
      </c>
      <c r="E16" s="1">
        <v>28422</v>
      </c>
    </row>
    <row r="17" spans="1:5">
      <c r="A17" s="33" t="s">
        <v>315</v>
      </c>
      <c r="B17" s="34">
        <v>1685</v>
      </c>
      <c r="C17" s="34">
        <v>26942</v>
      </c>
      <c r="D17" s="35">
        <v>5.886051629580466E-2</v>
      </c>
      <c r="E17" s="1">
        <v>28627</v>
      </c>
    </row>
    <row r="18" spans="1:5">
      <c r="A18" s="33" t="s">
        <v>314</v>
      </c>
      <c r="B18" s="34">
        <v>1783</v>
      </c>
      <c r="C18" s="34">
        <v>27380</v>
      </c>
      <c r="D18" s="35">
        <v>6.1139114631553679E-2</v>
      </c>
      <c r="E18" s="1">
        <v>29163</v>
      </c>
    </row>
    <row r="19" spans="1:5">
      <c r="A19" s="47" t="s">
        <v>339</v>
      </c>
      <c r="B19" s="48">
        <f>AVERAGE(B3:B18)</f>
        <v>1761.8125</v>
      </c>
      <c r="C19" s="48">
        <f>AVERAGE(C3:C18)</f>
        <v>28495.25</v>
      </c>
      <c r="D19" s="48">
        <v>5.8228140950563195E-2</v>
      </c>
      <c r="E19" s="1">
        <v>30257.0625</v>
      </c>
    </row>
  </sheetData>
  <mergeCells count="3">
    <mergeCell ref="D1:D2"/>
    <mergeCell ref="A1:A2"/>
    <mergeCell ref="B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4DE6-0A9D-4AC7-A892-540D509FF1CF}">
  <dimension ref="A1:E28"/>
  <sheetViews>
    <sheetView workbookViewId="0">
      <selection sqref="A1:A1048576"/>
    </sheetView>
  </sheetViews>
  <sheetFormatPr defaultRowHeight="14.5"/>
  <cols>
    <col min="1" max="1" width="10.26953125" style="44" customWidth="1"/>
    <col min="2" max="3" width="10.26953125" style="45" customWidth="1"/>
    <col min="4" max="4" width="10.26953125" style="44" customWidth="1"/>
    <col min="5" max="16384" width="8.7265625" style="2"/>
  </cols>
  <sheetData>
    <row r="1" spans="1:5">
      <c r="A1" s="69" t="s">
        <v>329</v>
      </c>
      <c r="B1" s="71" t="s">
        <v>340</v>
      </c>
      <c r="C1" s="71"/>
      <c r="D1" s="70" t="s">
        <v>349</v>
      </c>
    </row>
    <row r="2" spans="1:5">
      <c r="A2" s="69"/>
      <c r="B2" s="42" t="s">
        <v>347</v>
      </c>
      <c r="C2" s="42" t="s">
        <v>348</v>
      </c>
      <c r="D2" s="70"/>
    </row>
    <row r="3" spans="1:5">
      <c r="A3" s="43" t="s">
        <v>328</v>
      </c>
      <c r="B3" s="42">
        <v>19627</v>
      </c>
      <c r="C3" s="42">
        <v>1075</v>
      </c>
      <c r="D3" s="46">
        <f t="shared" ref="D3:D28" si="0">C3/E3</f>
        <v>5.1927350014491357E-2</v>
      </c>
      <c r="E3" s="2">
        <f t="shared" ref="E3:E27" si="1">SUM(B3:C3)</f>
        <v>20702</v>
      </c>
    </row>
    <row r="4" spans="1:5">
      <c r="A4" s="43" t="s">
        <v>327</v>
      </c>
      <c r="B4" s="42">
        <v>19441</v>
      </c>
      <c r="C4" s="42">
        <v>1081</v>
      </c>
      <c r="D4" s="46">
        <f t="shared" si="0"/>
        <v>5.2675177857908588E-2</v>
      </c>
      <c r="E4" s="2">
        <f t="shared" si="1"/>
        <v>20522</v>
      </c>
    </row>
    <row r="5" spans="1:5">
      <c r="A5" s="43" t="s">
        <v>326</v>
      </c>
      <c r="B5" s="42">
        <v>19412</v>
      </c>
      <c r="C5" s="42">
        <v>1157</v>
      </c>
      <c r="D5" s="46">
        <f t="shared" si="0"/>
        <v>5.6249696144683746E-2</v>
      </c>
      <c r="E5" s="2">
        <f t="shared" si="1"/>
        <v>20569</v>
      </c>
    </row>
    <row r="6" spans="1:5">
      <c r="A6" s="43" t="s">
        <v>325</v>
      </c>
      <c r="B6" s="42">
        <v>19330</v>
      </c>
      <c r="C6" s="42">
        <v>1159</v>
      </c>
      <c r="D6" s="46">
        <f t="shared" si="0"/>
        <v>5.6566938357167258E-2</v>
      </c>
      <c r="E6" s="2">
        <f t="shared" si="1"/>
        <v>20489</v>
      </c>
    </row>
    <row r="7" spans="1:5">
      <c r="A7" s="43" t="s">
        <v>324</v>
      </c>
      <c r="B7" s="42">
        <v>18973</v>
      </c>
      <c r="C7" s="42">
        <v>1288</v>
      </c>
      <c r="D7" s="46">
        <f t="shared" si="0"/>
        <v>6.3570406199101717E-2</v>
      </c>
      <c r="E7" s="2">
        <f t="shared" si="1"/>
        <v>20261</v>
      </c>
    </row>
    <row r="8" spans="1:5">
      <c r="A8" s="43" t="s">
        <v>323</v>
      </c>
      <c r="B8" s="42">
        <v>19400</v>
      </c>
      <c r="C8" s="42">
        <v>1429</v>
      </c>
      <c r="D8" s="46">
        <f t="shared" si="0"/>
        <v>6.8606270104181674E-2</v>
      </c>
      <c r="E8" s="2">
        <f t="shared" si="1"/>
        <v>20829</v>
      </c>
    </row>
    <row r="9" spans="1:5">
      <c r="A9" s="43" t="s">
        <v>322</v>
      </c>
      <c r="B9" s="42">
        <v>20379</v>
      </c>
      <c r="C9" s="42">
        <v>1521</v>
      </c>
      <c r="D9" s="46">
        <f t="shared" si="0"/>
        <v>6.9452054794520546E-2</v>
      </c>
      <c r="E9" s="2">
        <f t="shared" si="1"/>
        <v>21900</v>
      </c>
    </row>
    <row r="10" spans="1:5">
      <c r="A10" s="43" t="s">
        <v>321</v>
      </c>
      <c r="B10" s="42">
        <v>21513</v>
      </c>
      <c r="C10" s="42">
        <v>1621</v>
      </c>
      <c r="D10" s="46">
        <f t="shared" si="0"/>
        <v>7.0070026800380394E-2</v>
      </c>
      <c r="E10" s="2">
        <f t="shared" si="1"/>
        <v>23134</v>
      </c>
    </row>
    <row r="11" spans="1:5">
      <c r="A11" s="43" t="s">
        <v>320</v>
      </c>
      <c r="B11" s="42">
        <v>21728</v>
      </c>
      <c r="C11" s="42">
        <v>1832</v>
      </c>
      <c r="D11" s="46">
        <f t="shared" si="0"/>
        <v>7.7758913412563663E-2</v>
      </c>
      <c r="E11" s="2">
        <f t="shared" si="1"/>
        <v>23560</v>
      </c>
    </row>
    <row r="12" spans="1:5">
      <c r="A12" s="43" t="s">
        <v>319</v>
      </c>
      <c r="B12" s="42">
        <v>21499</v>
      </c>
      <c r="C12" s="42">
        <v>2224</v>
      </c>
      <c r="D12" s="46">
        <f t="shared" si="0"/>
        <v>9.3748682712978967E-2</v>
      </c>
      <c r="E12" s="2">
        <f t="shared" si="1"/>
        <v>23723</v>
      </c>
    </row>
    <row r="13" spans="1:5">
      <c r="A13" s="43" t="s">
        <v>318</v>
      </c>
      <c r="B13" s="42">
        <v>23693</v>
      </c>
      <c r="C13" s="42">
        <v>2630</v>
      </c>
      <c r="D13" s="46">
        <f t="shared" si="0"/>
        <v>9.9912623941040155E-2</v>
      </c>
      <c r="E13" s="2">
        <f t="shared" si="1"/>
        <v>26323</v>
      </c>
    </row>
    <row r="14" spans="1:5">
      <c r="A14" s="43" t="s">
        <v>317</v>
      </c>
      <c r="B14" s="42">
        <v>25637</v>
      </c>
      <c r="C14" s="42">
        <v>2869</v>
      </c>
      <c r="D14" s="46">
        <f t="shared" si="0"/>
        <v>0.10064547814495194</v>
      </c>
      <c r="E14" s="2">
        <f t="shared" si="1"/>
        <v>28506</v>
      </c>
    </row>
    <row r="15" spans="1:5">
      <c r="A15" s="43" t="s">
        <v>316</v>
      </c>
      <c r="B15" s="42">
        <v>26436</v>
      </c>
      <c r="C15" s="42">
        <v>3621</v>
      </c>
      <c r="D15" s="46">
        <f t="shared" si="0"/>
        <v>0.12047110490068869</v>
      </c>
      <c r="E15" s="2">
        <f t="shared" si="1"/>
        <v>30057</v>
      </c>
    </row>
    <row r="16" spans="1:5">
      <c r="A16" s="43" t="s">
        <v>315</v>
      </c>
      <c r="B16" s="42">
        <v>29931</v>
      </c>
      <c r="C16" s="42">
        <v>4589</v>
      </c>
      <c r="D16" s="46">
        <f t="shared" si="0"/>
        <v>0.13293742757821553</v>
      </c>
      <c r="E16" s="2">
        <f t="shared" si="1"/>
        <v>34520</v>
      </c>
    </row>
    <row r="17" spans="1:5">
      <c r="A17" s="43" t="s">
        <v>314</v>
      </c>
      <c r="B17" s="42">
        <v>34445</v>
      </c>
      <c r="C17" s="42">
        <v>5207</v>
      </c>
      <c r="D17" s="46">
        <f t="shared" si="0"/>
        <v>0.13131746191869262</v>
      </c>
      <c r="E17" s="2">
        <f t="shared" si="1"/>
        <v>39652</v>
      </c>
    </row>
    <row r="18" spans="1:5">
      <c r="A18" s="43" t="s">
        <v>313</v>
      </c>
      <c r="B18" s="42">
        <v>34836</v>
      </c>
      <c r="C18" s="42">
        <v>5505</v>
      </c>
      <c r="D18" s="46">
        <f t="shared" si="0"/>
        <v>0.13646166431174239</v>
      </c>
      <c r="E18" s="2">
        <f t="shared" si="1"/>
        <v>40341</v>
      </c>
    </row>
    <row r="19" spans="1:5">
      <c r="A19" s="43" t="s">
        <v>312</v>
      </c>
      <c r="B19" s="42">
        <v>35281</v>
      </c>
      <c r="C19" s="42">
        <v>5450</v>
      </c>
      <c r="D19" s="46">
        <f t="shared" si="0"/>
        <v>0.13380471876457736</v>
      </c>
      <c r="E19" s="2">
        <f t="shared" si="1"/>
        <v>40731</v>
      </c>
    </row>
    <row r="20" spans="1:5">
      <c r="A20" s="43" t="s">
        <v>331</v>
      </c>
      <c r="B20" s="42">
        <v>34086</v>
      </c>
      <c r="C20" s="42">
        <v>5452</v>
      </c>
      <c r="D20" s="46">
        <f t="shared" si="0"/>
        <v>0.13789266022560576</v>
      </c>
      <c r="E20" s="2">
        <f t="shared" si="1"/>
        <v>39538</v>
      </c>
    </row>
    <row r="21" spans="1:5">
      <c r="A21" s="43" t="s">
        <v>332</v>
      </c>
      <c r="B21" s="42">
        <v>34375</v>
      </c>
      <c r="C21" s="42">
        <v>5875</v>
      </c>
      <c r="D21" s="46">
        <f t="shared" si="0"/>
        <v>0.14596273291925466</v>
      </c>
      <c r="E21" s="2">
        <f t="shared" si="1"/>
        <v>40250</v>
      </c>
    </row>
    <row r="22" spans="1:5">
      <c r="A22" s="43" t="s">
        <v>333</v>
      </c>
      <c r="B22" s="42">
        <v>35824</v>
      </c>
      <c r="C22" s="42">
        <v>5772</v>
      </c>
      <c r="D22" s="46">
        <f t="shared" si="0"/>
        <v>0.13876334262909895</v>
      </c>
      <c r="E22" s="2">
        <f t="shared" si="1"/>
        <v>41596</v>
      </c>
    </row>
    <row r="23" spans="1:5">
      <c r="A23" s="43" t="s">
        <v>334</v>
      </c>
      <c r="B23" s="42">
        <v>35019</v>
      </c>
      <c r="C23" s="42">
        <v>5337</v>
      </c>
      <c r="D23" s="46">
        <f t="shared" si="0"/>
        <v>0.13224799286351471</v>
      </c>
      <c r="E23" s="2">
        <f t="shared" si="1"/>
        <v>40356</v>
      </c>
    </row>
    <row r="24" spans="1:5">
      <c r="A24" s="43" t="s">
        <v>335</v>
      </c>
      <c r="B24" s="42">
        <v>31997</v>
      </c>
      <c r="C24" s="42">
        <v>4943</v>
      </c>
      <c r="D24" s="46">
        <f t="shared" si="0"/>
        <v>0.13381158635625337</v>
      </c>
      <c r="E24" s="2">
        <f t="shared" si="1"/>
        <v>36940</v>
      </c>
    </row>
    <row r="25" spans="1:5">
      <c r="A25" s="43" t="s">
        <v>336</v>
      </c>
      <c r="B25" s="42">
        <v>28182</v>
      </c>
      <c r="C25" s="42">
        <v>4250</v>
      </c>
      <c r="D25" s="46">
        <f t="shared" si="0"/>
        <v>0.13104341391218549</v>
      </c>
      <c r="E25" s="2">
        <f t="shared" si="1"/>
        <v>32432</v>
      </c>
    </row>
    <row r="26" spans="1:5">
      <c r="A26" s="43" t="s">
        <v>337</v>
      </c>
      <c r="B26" s="42">
        <v>23116</v>
      </c>
      <c r="C26" s="42">
        <v>3460</v>
      </c>
      <c r="D26" s="46">
        <f t="shared" si="0"/>
        <v>0.13019265502709212</v>
      </c>
      <c r="E26" s="2">
        <f t="shared" si="1"/>
        <v>26576</v>
      </c>
    </row>
    <row r="27" spans="1:5">
      <c r="A27" s="43" t="s">
        <v>338</v>
      </c>
      <c r="B27" s="42">
        <v>16546</v>
      </c>
      <c r="C27" s="42">
        <v>3012</v>
      </c>
      <c r="D27" s="46">
        <f t="shared" si="0"/>
        <v>0.15400347683812252</v>
      </c>
      <c r="E27" s="2">
        <f t="shared" si="1"/>
        <v>19558</v>
      </c>
    </row>
    <row r="28" spans="1:5">
      <c r="A28" s="50" t="s">
        <v>339</v>
      </c>
      <c r="B28" s="52">
        <f>AVERAGE(B3:B27)</f>
        <v>26028.240000000002</v>
      </c>
      <c r="C28" s="52">
        <f>AVERAGE(C3:C27)</f>
        <v>3294.36</v>
      </c>
      <c r="D28" s="51">
        <f t="shared" si="0"/>
        <v>0.11234883673344109</v>
      </c>
      <c r="E28" s="2">
        <f t="shared" ref="E28" si="2">SUM(B28:C28)</f>
        <v>29322.600000000002</v>
      </c>
    </row>
  </sheetData>
  <mergeCells count="3">
    <mergeCell ref="A1:A2"/>
    <mergeCell ref="D1:D2"/>
    <mergeCell ref="B1:C1"/>
  </mergeCells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BC52-D5E8-4B4A-AE0C-2B7361B0CCC4}">
  <dimension ref="A1:L898"/>
  <sheetViews>
    <sheetView workbookViewId="0">
      <selection activeCell="A23" sqref="A1:A1048576"/>
    </sheetView>
  </sheetViews>
  <sheetFormatPr defaultRowHeight="14.5"/>
  <cols>
    <col min="1" max="1" width="25.36328125" style="3" customWidth="1"/>
    <col min="2" max="5" width="8.7265625" style="4"/>
    <col min="6" max="6" width="11.7265625" style="4" customWidth="1"/>
    <col min="7" max="7" width="8.7265625" style="4"/>
    <col min="8" max="8" width="13.1796875" style="4" customWidth="1"/>
    <col min="9" max="9" width="8.7265625" style="4"/>
    <col min="10" max="10" width="10.90625" style="4" customWidth="1"/>
    <col min="11" max="11" width="10.08984375" style="4" customWidth="1"/>
    <col min="12" max="12" width="16.08984375" style="4" customWidth="1"/>
    <col min="13" max="16384" width="8.7265625" style="2"/>
  </cols>
  <sheetData>
    <row r="1" spans="1:12" s="14" customFormat="1" ht="43.5">
      <c r="A1" s="13" t="s">
        <v>18</v>
      </c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3" t="s">
        <v>25</v>
      </c>
      <c r="I1" s="13" t="s">
        <v>26</v>
      </c>
      <c r="J1" s="13" t="s">
        <v>27</v>
      </c>
      <c r="K1" s="13" t="s">
        <v>28</v>
      </c>
      <c r="L1" s="13" t="s">
        <v>29</v>
      </c>
    </row>
    <row r="2" spans="1:12">
      <c r="A2" s="3" t="s">
        <v>32</v>
      </c>
      <c r="B2" s="4">
        <v>9</v>
      </c>
      <c r="C2" s="4" t="s">
        <v>31</v>
      </c>
      <c r="D2" s="4">
        <v>300</v>
      </c>
      <c r="E2" s="4">
        <v>300</v>
      </c>
      <c r="F2" s="4">
        <v>287</v>
      </c>
      <c r="G2" s="4">
        <v>287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>
      <c r="A3" s="3" t="s">
        <v>32</v>
      </c>
      <c r="B3" s="4">
        <v>10</v>
      </c>
      <c r="C3" s="15" t="s">
        <v>31</v>
      </c>
      <c r="D3" s="4">
        <v>0</v>
      </c>
      <c r="E3" s="4">
        <v>0</v>
      </c>
      <c r="F3" s="4">
        <v>6</v>
      </c>
      <c r="G3" s="4">
        <v>6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>
      <c r="A4" s="3" t="s">
        <v>32</v>
      </c>
      <c r="B4" s="4">
        <v>11</v>
      </c>
      <c r="C4" s="16" t="s">
        <v>31</v>
      </c>
      <c r="D4" s="4">
        <v>270</v>
      </c>
      <c r="E4" s="4">
        <v>270</v>
      </c>
      <c r="F4" s="4">
        <v>95</v>
      </c>
      <c r="G4" s="4">
        <v>95</v>
      </c>
      <c r="H4" s="4">
        <v>0</v>
      </c>
      <c r="I4" s="4">
        <v>0</v>
      </c>
      <c r="J4" s="4">
        <v>0</v>
      </c>
      <c r="K4" s="4">
        <v>0</v>
      </c>
      <c r="L4" s="4">
        <v>0</v>
      </c>
    </row>
    <row r="5" spans="1:12">
      <c r="A5" s="3" t="s">
        <v>32</v>
      </c>
      <c r="B5" s="4">
        <v>12</v>
      </c>
      <c r="C5" s="15" t="s">
        <v>31</v>
      </c>
      <c r="D5" s="4">
        <v>2</v>
      </c>
      <c r="E5" s="4">
        <v>2</v>
      </c>
      <c r="F5" s="4">
        <v>1</v>
      </c>
      <c r="G5" s="4">
        <v>1</v>
      </c>
      <c r="H5" s="4">
        <v>0</v>
      </c>
      <c r="I5" s="4">
        <v>0</v>
      </c>
      <c r="J5" s="4">
        <v>0</v>
      </c>
      <c r="K5" s="4">
        <v>0</v>
      </c>
      <c r="L5" s="4">
        <v>0</v>
      </c>
    </row>
    <row r="6" spans="1:12">
      <c r="A6" s="3" t="s">
        <v>33</v>
      </c>
      <c r="B6" s="4">
        <v>5</v>
      </c>
      <c r="C6" s="4" t="s">
        <v>31</v>
      </c>
      <c r="D6" s="4">
        <v>90</v>
      </c>
      <c r="E6" s="4">
        <v>90</v>
      </c>
      <c r="F6" s="4">
        <v>90</v>
      </c>
      <c r="G6" s="4">
        <v>90</v>
      </c>
      <c r="H6" s="4">
        <v>0</v>
      </c>
      <c r="I6" s="4">
        <v>0</v>
      </c>
      <c r="J6" s="4">
        <v>0</v>
      </c>
      <c r="K6" s="4">
        <v>0</v>
      </c>
      <c r="L6" s="4">
        <v>0</v>
      </c>
    </row>
    <row r="7" spans="1:12">
      <c r="A7" s="3" t="s">
        <v>33</v>
      </c>
      <c r="B7" s="4">
        <v>6</v>
      </c>
      <c r="C7" s="4" t="s">
        <v>31</v>
      </c>
      <c r="D7" s="4">
        <v>0</v>
      </c>
      <c r="E7" s="4">
        <v>0</v>
      </c>
      <c r="F7" s="4">
        <v>3</v>
      </c>
      <c r="G7" s="4">
        <v>3</v>
      </c>
      <c r="H7" s="4">
        <v>0</v>
      </c>
      <c r="I7" s="4">
        <v>0</v>
      </c>
      <c r="J7" s="4">
        <v>0</v>
      </c>
      <c r="K7" s="4">
        <v>0</v>
      </c>
      <c r="L7" s="4">
        <v>0</v>
      </c>
    </row>
    <row r="8" spans="1:12">
      <c r="A8" s="3" t="s">
        <v>33</v>
      </c>
      <c r="B8" s="4">
        <v>7</v>
      </c>
      <c r="C8" s="4" t="s">
        <v>31</v>
      </c>
      <c r="D8" s="4">
        <v>7</v>
      </c>
      <c r="E8" s="4">
        <v>7</v>
      </c>
      <c r="F8" s="4">
        <v>1</v>
      </c>
      <c r="G8" s="4">
        <v>1</v>
      </c>
      <c r="H8" s="4">
        <v>0</v>
      </c>
      <c r="I8" s="4">
        <v>0</v>
      </c>
      <c r="J8" s="4">
        <v>0</v>
      </c>
      <c r="K8" s="4">
        <v>0</v>
      </c>
      <c r="L8" s="4">
        <v>0</v>
      </c>
    </row>
    <row r="9" spans="1:12">
      <c r="A9" s="3" t="s">
        <v>33</v>
      </c>
      <c r="B9" s="4">
        <v>8</v>
      </c>
      <c r="C9" s="4" t="s">
        <v>31</v>
      </c>
      <c r="D9" s="4">
        <v>3</v>
      </c>
      <c r="E9" s="4">
        <v>3</v>
      </c>
      <c r="F9" s="4">
        <v>3</v>
      </c>
      <c r="G9" s="4">
        <v>3</v>
      </c>
      <c r="H9" s="4">
        <v>0</v>
      </c>
      <c r="I9" s="4">
        <v>0</v>
      </c>
      <c r="J9" s="4">
        <v>0</v>
      </c>
      <c r="K9" s="4">
        <v>0</v>
      </c>
      <c r="L9" s="4">
        <v>0</v>
      </c>
    </row>
    <row r="10" spans="1:12">
      <c r="A10" s="3" t="s">
        <v>33</v>
      </c>
      <c r="B10" s="4">
        <v>9</v>
      </c>
      <c r="C10" s="4" t="s">
        <v>31</v>
      </c>
      <c r="D10" s="4">
        <v>72</v>
      </c>
      <c r="E10" s="4">
        <v>72</v>
      </c>
      <c r="F10" s="4">
        <v>109</v>
      </c>
      <c r="G10" s="4">
        <v>109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</row>
    <row r="11" spans="1:12">
      <c r="A11" s="3" t="s">
        <v>33</v>
      </c>
      <c r="B11" s="4">
        <v>10</v>
      </c>
      <c r="C11" s="4" t="s">
        <v>31</v>
      </c>
      <c r="D11" s="4">
        <v>3</v>
      </c>
      <c r="E11" s="4">
        <v>3</v>
      </c>
      <c r="F11" s="4">
        <v>8</v>
      </c>
      <c r="G11" s="4">
        <v>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</row>
    <row r="12" spans="1:12">
      <c r="A12" s="3" t="s">
        <v>33</v>
      </c>
      <c r="B12" s="4">
        <v>11</v>
      </c>
      <c r="C12" s="4" t="s">
        <v>31</v>
      </c>
      <c r="D12" s="4">
        <v>0</v>
      </c>
      <c r="E12" s="4">
        <v>0</v>
      </c>
      <c r="F12" s="4">
        <v>63</v>
      </c>
      <c r="G12" s="4">
        <v>63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</row>
    <row r="13" spans="1:12">
      <c r="A13" s="3" t="s">
        <v>33</v>
      </c>
      <c r="B13" s="4">
        <v>12</v>
      </c>
      <c r="C13" s="4" t="s">
        <v>31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</row>
    <row r="14" spans="1:12">
      <c r="A14" s="3" t="s">
        <v>34</v>
      </c>
      <c r="B14" s="4">
        <v>1</v>
      </c>
      <c r="C14" s="4" t="s">
        <v>31</v>
      </c>
      <c r="D14" s="4">
        <v>54</v>
      </c>
      <c r="E14" s="4">
        <v>54</v>
      </c>
      <c r="F14" s="4">
        <v>49</v>
      </c>
      <c r="G14" s="4">
        <v>49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</row>
    <row r="15" spans="1:12">
      <c r="A15" s="3" t="s">
        <v>34</v>
      </c>
      <c r="B15" s="4">
        <v>2</v>
      </c>
      <c r="C15" s="4" t="s">
        <v>31</v>
      </c>
      <c r="D15" s="4">
        <v>3</v>
      </c>
      <c r="E15" s="4">
        <v>3</v>
      </c>
      <c r="F15" s="4">
        <v>2</v>
      </c>
      <c r="G15" s="4">
        <v>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</row>
    <row r="16" spans="1:12">
      <c r="A16" s="3" t="s">
        <v>34</v>
      </c>
      <c r="B16" s="4">
        <v>3</v>
      </c>
      <c r="C16" s="4" t="s">
        <v>31</v>
      </c>
      <c r="D16" s="4">
        <v>0</v>
      </c>
      <c r="E16" s="4">
        <v>0</v>
      </c>
      <c r="F16" s="4">
        <v>3</v>
      </c>
      <c r="G16" s="4">
        <v>3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</row>
    <row r="17" spans="1:12">
      <c r="A17" s="3" t="s">
        <v>34</v>
      </c>
      <c r="B17" s="4">
        <v>4</v>
      </c>
      <c r="C17" s="4" t="s">
        <v>31</v>
      </c>
      <c r="D17" s="4">
        <v>2</v>
      </c>
      <c r="E17" s="4">
        <v>2</v>
      </c>
      <c r="F17" s="4">
        <v>5</v>
      </c>
      <c r="G17" s="4">
        <v>5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</row>
    <row r="18" spans="1:12">
      <c r="A18" s="3" t="s">
        <v>34</v>
      </c>
      <c r="B18" s="4">
        <v>5</v>
      </c>
      <c r="C18" s="4" t="s">
        <v>31</v>
      </c>
      <c r="D18" s="4">
        <v>123</v>
      </c>
      <c r="E18" s="4">
        <v>123</v>
      </c>
      <c r="F18" s="4">
        <v>59</v>
      </c>
      <c r="G18" s="4">
        <v>59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</row>
    <row r="19" spans="1:12">
      <c r="A19" s="3" t="s">
        <v>34</v>
      </c>
      <c r="B19" s="4">
        <v>6</v>
      </c>
      <c r="C19" s="4" t="s">
        <v>31</v>
      </c>
      <c r="D19" s="4">
        <v>3</v>
      </c>
      <c r="E19" s="4">
        <v>3</v>
      </c>
      <c r="F19" s="4">
        <v>1</v>
      </c>
      <c r="G19" s="4">
        <v>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</row>
    <row r="20" spans="1:12">
      <c r="A20" s="3" t="s">
        <v>34</v>
      </c>
      <c r="B20" s="4">
        <v>7</v>
      </c>
      <c r="C20" s="4" t="s">
        <v>31</v>
      </c>
      <c r="D20" s="4">
        <v>26</v>
      </c>
      <c r="E20" s="4">
        <v>26</v>
      </c>
      <c r="F20" s="4">
        <v>1</v>
      </c>
      <c r="G20" s="4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</row>
    <row r="21" spans="1:12">
      <c r="A21" s="3" t="s">
        <v>34</v>
      </c>
      <c r="B21" s="4">
        <v>8</v>
      </c>
      <c r="C21" s="4" t="s">
        <v>31</v>
      </c>
      <c r="D21" s="4">
        <v>20</v>
      </c>
      <c r="E21" s="4">
        <v>20</v>
      </c>
      <c r="F21" s="4">
        <v>2</v>
      </c>
      <c r="G21" s="4">
        <v>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</row>
    <row r="22" spans="1:12">
      <c r="A22" s="3" t="s">
        <v>34</v>
      </c>
      <c r="B22" s="4">
        <v>9</v>
      </c>
      <c r="C22" s="4" t="s">
        <v>31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</row>
    <row r="23" spans="1:12">
      <c r="A23" s="3" t="s">
        <v>35</v>
      </c>
      <c r="B23" s="4">
        <v>9</v>
      </c>
      <c r="C23" s="4" t="s">
        <v>31</v>
      </c>
      <c r="D23" s="4">
        <v>240</v>
      </c>
      <c r="E23" s="4">
        <v>240</v>
      </c>
      <c r="F23" s="4">
        <v>397</v>
      </c>
      <c r="G23" s="4">
        <v>397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</row>
    <row r="24" spans="1:12">
      <c r="A24" s="3" t="s">
        <v>35</v>
      </c>
      <c r="B24" s="4">
        <v>10</v>
      </c>
      <c r="C24" s="4" t="s">
        <v>31</v>
      </c>
      <c r="D24" s="4">
        <v>0</v>
      </c>
      <c r="E24" s="4">
        <v>0</v>
      </c>
      <c r="F24" s="4">
        <v>9</v>
      </c>
      <c r="G24" s="4">
        <v>9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</row>
    <row r="25" spans="1:12">
      <c r="A25" s="3" t="s">
        <v>35</v>
      </c>
      <c r="B25" s="4">
        <v>11</v>
      </c>
      <c r="C25" s="4" t="s">
        <v>31</v>
      </c>
      <c r="D25" s="4">
        <v>210</v>
      </c>
      <c r="E25" s="4">
        <v>210</v>
      </c>
      <c r="F25" s="4">
        <v>135</v>
      </c>
      <c r="G25" s="4">
        <v>135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</row>
    <row r="26" spans="1:12">
      <c r="A26" s="3" t="s">
        <v>35</v>
      </c>
      <c r="B26" s="4">
        <v>12</v>
      </c>
      <c r="C26" s="4" t="s">
        <v>31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</row>
    <row r="27" spans="1:12">
      <c r="A27" s="3" t="s">
        <v>36</v>
      </c>
      <c r="B27" s="4">
        <v>1</v>
      </c>
      <c r="C27" s="4" t="s">
        <v>31</v>
      </c>
      <c r="D27" s="4">
        <v>84</v>
      </c>
      <c r="E27" s="4">
        <v>84</v>
      </c>
      <c r="F27" s="4">
        <v>112</v>
      </c>
      <c r="G27" s="4">
        <v>112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</row>
    <row r="28" spans="1:12">
      <c r="A28" s="3" t="s">
        <v>36</v>
      </c>
      <c r="B28" s="4">
        <v>2</v>
      </c>
      <c r="C28" s="4" t="s">
        <v>31</v>
      </c>
      <c r="D28" s="4">
        <v>3</v>
      </c>
      <c r="E28" s="4">
        <v>3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</row>
    <row r="29" spans="1:12">
      <c r="A29" s="3" t="s">
        <v>36</v>
      </c>
      <c r="B29" s="4">
        <v>3</v>
      </c>
      <c r="C29" s="4" t="s">
        <v>31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</row>
    <row r="30" spans="1:12">
      <c r="A30" s="3" t="s">
        <v>36</v>
      </c>
      <c r="B30" s="4">
        <v>4</v>
      </c>
      <c r="C30" s="4" t="s">
        <v>31</v>
      </c>
      <c r="D30" s="4">
        <v>1</v>
      </c>
      <c r="E30" s="4">
        <v>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</row>
    <row r="31" spans="1:12">
      <c r="A31" s="3" t="s">
        <v>37</v>
      </c>
      <c r="B31" s="4">
        <v>1</v>
      </c>
      <c r="C31" s="4" t="s">
        <v>31</v>
      </c>
      <c r="D31" s="4">
        <v>96</v>
      </c>
      <c r="E31" s="4">
        <v>96</v>
      </c>
      <c r="F31" s="4">
        <v>156</v>
      </c>
      <c r="G31" s="4">
        <v>156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</row>
    <row r="32" spans="1:12">
      <c r="A32" s="3" t="s">
        <v>37</v>
      </c>
      <c r="B32" s="4">
        <v>2</v>
      </c>
      <c r="C32" s="4" t="s">
        <v>31</v>
      </c>
      <c r="D32" s="4">
        <v>1</v>
      </c>
      <c r="E32" s="4">
        <v>1</v>
      </c>
      <c r="F32" s="4">
        <v>1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</row>
    <row r="33" spans="1:12">
      <c r="A33" s="3" t="s">
        <v>37</v>
      </c>
      <c r="B33" s="4">
        <v>3</v>
      </c>
      <c r="C33" s="4" t="s">
        <v>31</v>
      </c>
      <c r="D33" s="4">
        <v>1</v>
      </c>
      <c r="E33" s="4">
        <v>1</v>
      </c>
      <c r="F33" s="4">
        <v>3</v>
      </c>
      <c r="G33" s="4">
        <v>3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</row>
    <row r="34" spans="1:12">
      <c r="A34" s="3" t="s">
        <v>37</v>
      </c>
      <c r="B34" s="4">
        <v>4</v>
      </c>
      <c r="C34" s="4" t="s">
        <v>31</v>
      </c>
      <c r="D34" s="4">
        <v>1</v>
      </c>
      <c r="E34" s="4">
        <v>1</v>
      </c>
      <c r="F34" s="4">
        <v>4</v>
      </c>
      <c r="G34" s="4">
        <v>4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</row>
    <row r="35" spans="1:12">
      <c r="A35" s="3" t="s">
        <v>37</v>
      </c>
      <c r="B35" s="4">
        <v>5</v>
      </c>
      <c r="C35" s="4" t="s">
        <v>31</v>
      </c>
      <c r="D35" s="4">
        <v>196</v>
      </c>
      <c r="E35" s="4">
        <v>196</v>
      </c>
      <c r="F35" s="4">
        <v>173</v>
      </c>
      <c r="G35" s="4">
        <v>173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</row>
    <row r="36" spans="1:12">
      <c r="A36" s="3" t="s">
        <v>37</v>
      </c>
      <c r="B36" s="4">
        <v>6</v>
      </c>
      <c r="C36" s="4" t="s">
        <v>31</v>
      </c>
      <c r="D36" s="4">
        <v>1</v>
      </c>
      <c r="E36" s="4">
        <v>1</v>
      </c>
      <c r="F36" s="4">
        <v>1</v>
      </c>
      <c r="G36" s="4">
        <v>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</row>
    <row r="37" spans="1:12">
      <c r="A37" s="3" t="s">
        <v>37</v>
      </c>
      <c r="B37" s="4">
        <v>7</v>
      </c>
      <c r="C37" s="4" t="s">
        <v>31</v>
      </c>
      <c r="D37" s="4">
        <v>6</v>
      </c>
      <c r="E37" s="4">
        <v>6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</row>
    <row r="38" spans="1:12">
      <c r="A38" s="3" t="s">
        <v>37</v>
      </c>
      <c r="B38" s="4">
        <v>8</v>
      </c>
      <c r="C38" s="4" t="s">
        <v>31</v>
      </c>
      <c r="D38" s="4">
        <v>2</v>
      </c>
      <c r="E38" s="4">
        <v>2</v>
      </c>
      <c r="F38" s="4">
        <v>3</v>
      </c>
      <c r="G38" s="4">
        <v>3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</row>
    <row r="39" spans="1:12">
      <c r="A39" s="3" t="s">
        <v>38</v>
      </c>
      <c r="B39" s="4">
        <v>9</v>
      </c>
      <c r="C39" s="4" t="s">
        <v>31</v>
      </c>
      <c r="D39" s="4">
        <v>210</v>
      </c>
      <c r="E39" s="4">
        <v>210</v>
      </c>
      <c r="F39" s="4">
        <v>342</v>
      </c>
      <c r="G39" s="4">
        <v>342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</row>
    <row r="40" spans="1:12">
      <c r="A40" s="3" t="s">
        <v>38</v>
      </c>
      <c r="B40" s="4">
        <v>11</v>
      </c>
      <c r="C40" s="4" t="s">
        <v>31</v>
      </c>
      <c r="D40" s="4">
        <v>240</v>
      </c>
      <c r="E40" s="4">
        <v>240</v>
      </c>
      <c r="F40" s="4">
        <v>117</v>
      </c>
      <c r="G40" s="4">
        <v>117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</row>
    <row r="41" spans="1:12">
      <c r="A41" s="3" t="s">
        <v>39</v>
      </c>
      <c r="B41" s="4">
        <v>1</v>
      </c>
      <c r="C41" s="4" t="s">
        <v>40</v>
      </c>
      <c r="D41" s="4">
        <v>48</v>
      </c>
      <c r="E41" s="4">
        <v>48</v>
      </c>
      <c r="F41" s="4">
        <v>19</v>
      </c>
      <c r="G41" s="4">
        <v>19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</row>
    <row r="42" spans="1:12">
      <c r="A42" s="3" t="s">
        <v>39</v>
      </c>
      <c r="B42" s="4">
        <v>2</v>
      </c>
      <c r="C42" s="4" t="s">
        <v>40</v>
      </c>
      <c r="D42" s="4">
        <v>2</v>
      </c>
      <c r="E42" s="4">
        <v>2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</row>
    <row r="43" spans="1:12">
      <c r="A43" s="3" t="s">
        <v>39</v>
      </c>
      <c r="B43" s="4">
        <v>3</v>
      </c>
      <c r="C43" s="4" t="s">
        <v>40</v>
      </c>
      <c r="D43" s="4">
        <v>4</v>
      </c>
      <c r="E43" s="4">
        <v>4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</row>
    <row r="44" spans="1:12">
      <c r="A44" s="3" t="s">
        <v>39</v>
      </c>
      <c r="B44" s="4">
        <v>4</v>
      </c>
      <c r="C44" s="4" t="s">
        <v>40</v>
      </c>
      <c r="D44" s="4">
        <v>4</v>
      </c>
      <c r="E44" s="4">
        <v>4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</row>
    <row r="45" spans="1:12">
      <c r="A45" s="3" t="s">
        <v>41</v>
      </c>
      <c r="B45" s="4">
        <v>1</v>
      </c>
      <c r="C45" s="4" t="s">
        <v>31</v>
      </c>
      <c r="D45" s="4">
        <v>96</v>
      </c>
      <c r="E45" s="4">
        <v>96</v>
      </c>
      <c r="F45" s="4">
        <v>157</v>
      </c>
      <c r="G45" s="4">
        <v>157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</row>
    <row r="46" spans="1:12">
      <c r="A46" s="3" t="s">
        <v>41</v>
      </c>
      <c r="B46" s="4">
        <v>2</v>
      </c>
      <c r="C46" s="4" t="s">
        <v>31</v>
      </c>
      <c r="D46" s="4">
        <v>2</v>
      </c>
      <c r="E46" s="4">
        <v>2</v>
      </c>
      <c r="F46" s="4">
        <v>2</v>
      </c>
      <c r="G46" s="4">
        <v>2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</row>
    <row r="47" spans="1:12">
      <c r="A47" s="3" t="s">
        <v>41</v>
      </c>
      <c r="B47" s="4">
        <v>3</v>
      </c>
      <c r="C47" s="4" t="s">
        <v>31</v>
      </c>
      <c r="D47" s="4">
        <v>5</v>
      </c>
      <c r="E47" s="4">
        <v>5</v>
      </c>
      <c r="F47" s="4">
        <v>1</v>
      </c>
      <c r="G47" s="4">
        <v>1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</row>
    <row r="48" spans="1:12">
      <c r="A48" s="3" t="s">
        <v>41</v>
      </c>
      <c r="B48" s="4">
        <v>4</v>
      </c>
      <c r="C48" s="4" t="s">
        <v>31</v>
      </c>
      <c r="D48" s="4">
        <v>0</v>
      </c>
      <c r="E48" s="4">
        <v>0</v>
      </c>
      <c r="F48" s="4">
        <v>2</v>
      </c>
      <c r="G48" s="4">
        <v>2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</row>
    <row r="49" spans="1:12">
      <c r="A49" s="3" t="s">
        <v>42</v>
      </c>
      <c r="B49" s="4">
        <v>11</v>
      </c>
      <c r="C49" s="4" t="s">
        <v>43</v>
      </c>
      <c r="D49" s="4">
        <v>46</v>
      </c>
      <c r="E49" s="4">
        <v>46</v>
      </c>
      <c r="F49" s="4">
        <v>5</v>
      </c>
      <c r="G49" s="4">
        <v>5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</row>
    <row r="50" spans="1:12">
      <c r="A50" s="3" t="s">
        <v>42</v>
      </c>
      <c r="B50" s="4">
        <v>12</v>
      </c>
      <c r="C50" s="4" t="s">
        <v>43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</row>
    <row r="51" spans="1:12">
      <c r="A51" s="3" t="s">
        <v>44</v>
      </c>
      <c r="B51" s="4">
        <v>9</v>
      </c>
      <c r="C51" s="4" t="s">
        <v>31</v>
      </c>
      <c r="D51" s="4">
        <v>202</v>
      </c>
      <c r="E51" s="4">
        <v>202</v>
      </c>
      <c r="F51" s="4">
        <v>256</v>
      </c>
      <c r="G51" s="4">
        <v>256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</row>
    <row r="52" spans="1:12">
      <c r="A52" s="3" t="s">
        <v>44</v>
      </c>
      <c r="B52" s="4">
        <v>10</v>
      </c>
      <c r="C52" s="4" t="s">
        <v>31</v>
      </c>
      <c r="D52" s="4">
        <v>10</v>
      </c>
      <c r="E52" s="4">
        <v>10</v>
      </c>
      <c r="F52" s="4">
        <v>8</v>
      </c>
      <c r="G52" s="4">
        <v>8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</row>
    <row r="53" spans="1:12">
      <c r="A53" s="3" t="s">
        <v>44</v>
      </c>
      <c r="B53" s="4">
        <v>11</v>
      </c>
      <c r="C53" s="4" t="s">
        <v>43</v>
      </c>
      <c r="D53" s="4">
        <v>46</v>
      </c>
      <c r="E53" s="4">
        <v>46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</row>
    <row r="54" spans="1:12">
      <c r="A54" s="3" t="s">
        <v>44</v>
      </c>
      <c r="B54" s="4">
        <v>11</v>
      </c>
      <c r="C54" s="4" t="s">
        <v>31</v>
      </c>
      <c r="D54" s="4">
        <v>30</v>
      </c>
      <c r="E54" s="4">
        <v>30</v>
      </c>
      <c r="F54" s="4">
        <v>27</v>
      </c>
      <c r="G54" s="4">
        <v>27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</row>
    <row r="55" spans="1:12">
      <c r="A55" s="3" t="s">
        <v>44</v>
      </c>
      <c r="B55" s="4">
        <v>12</v>
      </c>
      <c r="C55" s="4" t="s">
        <v>43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</row>
    <row r="56" spans="1:12">
      <c r="A56" s="3" t="s">
        <v>44</v>
      </c>
      <c r="B56" s="4">
        <v>12</v>
      </c>
      <c r="C56" s="4" t="s">
        <v>31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</row>
    <row r="57" spans="1:12">
      <c r="A57" s="3" t="s">
        <v>45</v>
      </c>
      <c r="B57" s="4">
        <v>9</v>
      </c>
      <c r="C57" s="4" t="s">
        <v>31</v>
      </c>
      <c r="D57" s="4">
        <v>243</v>
      </c>
      <c r="E57" s="4">
        <v>243</v>
      </c>
      <c r="F57" s="4">
        <v>15</v>
      </c>
      <c r="G57" s="4">
        <v>15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</row>
    <row r="58" spans="1:12">
      <c r="A58" s="3" t="s">
        <v>46</v>
      </c>
      <c r="B58" s="4">
        <v>1</v>
      </c>
      <c r="C58" s="4" t="s">
        <v>31</v>
      </c>
      <c r="D58" s="4">
        <v>144</v>
      </c>
      <c r="E58" s="4">
        <v>144</v>
      </c>
      <c r="F58" s="4">
        <v>199</v>
      </c>
      <c r="G58" s="4">
        <v>199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</row>
    <row r="59" spans="1:12">
      <c r="A59" s="3" t="s">
        <v>46</v>
      </c>
      <c r="B59" s="4">
        <v>2</v>
      </c>
      <c r="C59" s="4" t="s">
        <v>31</v>
      </c>
      <c r="D59" s="4">
        <v>0</v>
      </c>
      <c r="E59" s="4">
        <v>0</v>
      </c>
      <c r="F59" s="4">
        <v>1</v>
      </c>
      <c r="G59" s="4">
        <v>1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</row>
    <row r="60" spans="1:12">
      <c r="A60" s="3" t="s">
        <v>46</v>
      </c>
      <c r="B60" s="4">
        <v>3</v>
      </c>
      <c r="C60" s="4" t="s">
        <v>31</v>
      </c>
      <c r="D60" s="4">
        <v>0</v>
      </c>
      <c r="E60" s="4">
        <v>0</v>
      </c>
      <c r="F60" s="4">
        <v>2</v>
      </c>
      <c r="G60" s="4">
        <v>2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</row>
    <row r="61" spans="1:12">
      <c r="A61" s="3" t="s">
        <v>46</v>
      </c>
      <c r="B61" s="4">
        <v>4</v>
      </c>
      <c r="C61" s="4" t="s">
        <v>31</v>
      </c>
      <c r="D61" s="4">
        <v>0</v>
      </c>
      <c r="E61" s="4">
        <v>0</v>
      </c>
      <c r="F61" s="4">
        <v>2</v>
      </c>
      <c r="G61" s="4">
        <v>2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</row>
    <row r="62" spans="1:12">
      <c r="A62" s="3" t="s">
        <v>46</v>
      </c>
      <c r="B62" s="4">
        <v>5</v>
      </c>
      <c r="C62" s="4" t="s">
        <v>31</v>
      </c>
      <c r="D62" s="4">
        <v>150</v>
      </c>
      <c r="E62" s="4">
        <v>150</v>
      </c>
      <c r="F62" s="4">
        <v>92</v>
      </c>
      <c r="G62" s="4">
        <v>92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</row>
    <row r="63" spans="1:12">
      <c r="A63" s="3" t="s">
        <v>46</v>
      </c>
      <c r="B63" s="4">
        <v>6</v>
      </c>
      <c r="C63" s="4" t="s">
        <v>31</v>
      </c>
      <c r="D63" s="4">
        <v>7</v>
      </c>
      <c r="E63" s="4">
        <v>7</v>
      </c>
      <c r="F63" s="4">
        <v>3</v>
      </c>
      <c r="G63" s="4">
        <v>3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</row>
    <row r="64" spans="1:12">
      <c r="A64" s="3" t="s">
        <v>46</v>
      </c>
      <c r="B64" s="4">
        <v>7</v>
      </c>
      <c r="C64" s="4" t="s">
        <v>31</v>
      </c>
      <c r="D64" s="4">
        <v>9</v>
      </c>
      <c r="E64" s="4">
        <v>9</v>
      </c>
      <c r="F64" s="4">
        <v>1</v>
      </c>
      <c r="G64" s="4">
        <v>1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</row>
    <row r="65" spans="1:12">
      <c r="A65" s="3" t="s">
        <v>46</v>
      </c>
      <c r="B65" s="4">
        <v>8</v>
      </c>
      <c r="C65" s="4" t="s">
        <v>31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</row>
    <row r="66" spans="1:12">
      <c r="A66" s="3" t="s">
        <v>47</v>
      </c>
      <c r="B66" s="4">
        <v>1</v>
      </c>
      <c r="C66" s="4" t="s">
        <v>31</v>
      </c>
      <c r="D66" s="4">
        <v>48</v>
      </c>
      <c r="E66" s="4">
        <v>48</v>
      </c>
      <c r="F66" s="4">
        <v>54</v>
      </c>
      <c r="G66" s="4">
        <v>54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</row>
    <row r="67" spans="1:12">
      <c r="A67" s="3" t="s">
        <v>47</v>
      </c>
      <c r="B67" s="4">
        <v>2</v>
      </c>
      <c r="C67" s="4" t="s">
        <v>31</v>
      </c>
      <c r="D67" s="4">
        <v>10</v>
      </c>
      <c r="E67" s="4">
        <v>10</v>
      </c>
      <c r="F67" s="4">
        <v>1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</row>
    <row r="68" spans="1:12">
      <c r="A68" s="3" t="s">
        <v>48</v>
      </c>
      <c r="B68" s="4">
        <v>1</v>
      </c>
      <c r="C68" s="4" t="s">
        <v>40</v>
      </c>
      <c r="D68" s="4">
        <v>72</v>
      </c>
      <c r="E68" s="4">
        <v>72</v>
      </c>
      <c r="F68" s="4">
        <v>39</v>
      </c>
      <c r="G68" s="4">
        <v>39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</row>
    <row r="69" spans="1:12">
      <c r="A69" s="3" t="s">
        <v>48</v>
      </c>
      <c r="B69" s="4">
        <v>2</v>
      </c>
      <c r="C69" s="4" t="s">
        <v>40</v>
      </c>
      <c r="D69" s="4">
        <v>6</v>
      </c>
      <c r="E69" s="4">
        <v>6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</row>
    <row r="70" spans="1:12">
      <c r="A70" s="3" t="s">
        <v>48</v>
      </c>
      <c r="B70" s="4">
        <v>3</v>
      </c>
      <c r="C70" s="4" t="s">
        <v>40</v>
      </c>
      <c r="D70" s="4">
        <v>6</v>
      </c>
      <c r="E70" s="4">
        <v>6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</row>
    <row r="71" spans="1:12">
      <c r="A71" s="3" t="s">
        <v>48</v>
      </c>
      <c r="B71" s="4">
        <v>4</v>
      </c>
      <c r="C71" s="4" t="s">
        <v>40</v>
      </c>
      <c r="D71" s="4">
        <v>1</v>
      </c>
      <c r="E71" s="4">
        <v>1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</row>
    <row r="72" spans="1:12">
      <c r="A72" s="3" t="s">
        <v>48</v>
      </c>
      <c r="B72" s="4">
        <v>5</v>
      </c>
      <c r="C72" s="4" t="s">
        <v>40</v>
      </c>
      <c r="D72" s="4">
        <v>90</v>
      </c>
      <c r="E72" s="4">
        <v>90</v>
      </c>
      <c r="F72" s="4">
        <v>59</v>
      </c>
      <c r="G72" s="4">
        <v>59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</row>
    <row r="73" spans="1:12">
      <c r="A73" s="3" t="s">
        <v>48</v>
      </c>
      <c r="B73" s="4">
        <v>6</v>
      </c>
      <c r="C73" s="4" t="s">
        <v>40</v>
      </c>
      <c r="D73" s="4">
        <v>19</v>
      </c>
      <c r="E73" s="4">
        <v>19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</row>
    <row r="74" spans="1:12">
      <c r="A74" s="3" t="s">
        <v>48</v>
      </c>
      <c r="B74" s="4">
        <v>7</v>
      </c>
      <c r="C74" s="4" t="s">
        <v>40</v>
      </c>
      <c r="D74" s="4">
        <v>0</v>
      </c>
      <c r="E74" s="4">
        <v>0</v>
      </c>
      <c r="F74" s="4">
        <v>1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</row>
    <row r="75" spans="1:12">
      <c r="A75" s="3" t="s">
        <v>48</v>
      </c>
      <c r="B75" s="4">
        <v>8</v>
      </c>
      <c r="C75" s="4" t="s">
        <v>40</v>
      </c>
      <c r="D75" s="4">
        <v>19</v>
      </c>
      <c r="E75" s="4">
        <v>19</v>
      </c>
      <c r="F75" s="4">
        <v>1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</row>
    <row r="76" spans="1:12">
      <c r="A76" s="3" t="s">
        <v>48</v>
      </c>
      <c r="B76" s="4">
        <v>9</v>
      </c>
      <c r="C76" s="4" t="s">
        <v>40</v>
      </c>
      <c r="D76" s="4">
        <v>90</v>
      </c>
      <c r="E76" s="4">
        <v>90</v>
      </c>
      <c r="F76" s="4">
        <v>62</v>
      </c>
      <c r="G76" s="4">
        <v>62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</row>
    <row r="77" spans="1:12">
      <c r="A77" s="3" t="s">
        <v>48</v>
      </c>
      <c r="B77" s="4">
        <v>10</v>
      </c>
      <c r="C77" s="4" t="s">
        <v>40</v>
      </c>
      <c r="D77" s="4">
        <v>27</v>
      </c>
      <c r="E77" s="4">
        <v>27</v>
      </c>
      <c r="F77" s="4">
        <v>1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</row>
    <row r="78" spans="1:12">
      <c r="A78" s="3" t="s">
        <v>48</v>
      </c>
      <c r="B78" s="4">
        <v>11</v>
      </c>
      <c r="C78" s="4" t="s">
        <v>40</v>
      </c>
      <c r="D78" s="4">
        <v>90</v>
      </c>
      <c r="E78" s="4">
        <v>90</v>
      </c>
      <c r="F78" s="4">
        <v>44</v>
      </c>
      <c r="G78" s="4">
        <v>44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</row>
    <row r="79" spans="1:12">
      <c r="A79" s="3" t="s">
        <v>48</v>
      </c>
      <c r="B79" s="4">
        <v>12</v>
      </c>
      <c r="C79" s="4" t="s">
        <v>40</v>
      </c>
      <c r="D79" s="4">
        <v>2</v>
      </c>
      <c r="E79" s="4">
        <v>2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</row>
    <row r="80" spans="1:12">
      <c r="A80" s="3" t="s">
        <v>49</v>
      </c>
      <c r="B80" s="4">
        <v>1</v>
      </c>
      <c r="C80" s="4" t="s">
        <v>31</v>
      </c>
      <c r="D80" s="4">
        <v>6</v>
      </c>
      <c r="E80" s="4">
        <v>6</v>
      </c>
      <c r="F80" s="4">
        <v>1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</row>
    <row r="81" spans="1:12">
      <c r="A81" s="3" t="s">
        <v>49</v>
      </c>
      <c r="B81" s="4">
        <v>2</v>
      </c>
      <c r="C81" s="4" t="s">
        <v>31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</row>
    <row r="82" spans="1:12">
      <c r="A82" s="3" t="s">
        <v>49</v>
      </c>
      <c r="B82" s="4">
        <v>6</v>
      </c>
      <c r="C82" s="4" t="s">
        <v>31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</row>
    <row r="83" spans="1:12">
      <c r="A83" s="3" t="s">
        <v>50</v>
      </c>
      <c r="B83" s="4">
        <v>1</v>
      </c>
      <c r="C83" s="4" t="s">
        <v>31</v>
      </c>
      <c r="D83" s="4">
        <v>96</v>
      </c>
      <c r="E83" s="4">
        <v>96</v>
      </c>
      <c r="F83" s="4">
        <v>76</v>
      </c>
      <c r="G83" s="4">
        <v>76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</row>
    <row r="84" spans="1:12">
      <c r="A84" s="3" t="s">
        <v>50</v>
      </c>
      <c r="B84" s="4">
        <v>2</v>
      </c>
      <c r="C84" s="4" t="s">
        <v>31</v>
      </c>
      <c r="D84" s="4">
        <v>3</v>
      </c>
      <c r="E84" s="4">
        <v>3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</row>
    <row r="85" spans="1:12">
      <c r="A85" s="3" t="s">
        <v>50</v>
      </c>
      <c r="B85" s="4">
        <v>3</v>
      </c>
      <c r="C85" s="4" t="s">
        <v>31</v>
      </c>
      <c r="D85" s="4">
        <v>7</v>
      </c>
      <c r="E85" s="4">
        <v>7</v>
      </c>
      <c r="F85" s="4">
        <v>2</v>
      </c>
      <c r="G85" s="4">
        <v>2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</row>
    <row r="86" spans="1:12">
      <c r="A86" s="3" t="s">
        <v>50</v>
      </c>
      <c r="B86" s="4">
        <v>4</v>
      </c>
      <c r="C86" s="4" t="s">
        <v>31</v>
      </c>
      <c r="D86" s="4">
        <v>0</v>
      </c>
      <c r="E86" s="4">
        <v>0</v>
      </c>
      <c r="F86" s="4">
        <v>2</v>
      </c>
      <c r="G86" s="4">
        <v>2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</row>
    <row r="87" spans="1:12">
      <c r="A87" s="3" t="s">
        <v>50</v>
      </c>
      <c r="B87" s="4">
        <v>5</v>
      </c>
      <c r="C87" s="4" t="s">
        <v>31</v>
      </c>
      <c r="D87" s="4">
        <v>120</v>
      </c>
      <c r="E87" s="4">
        <v>120</v>
      </c>
      <c r="F87" s="4">
        <v>58</v>
      </c>
      <c r="G87" s="4">
        <v>58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</row>
    <row r="88" spans="1:12">
      <c r="A88" s="3" t="s">
        <v>50</v>
      </c>
      <c r="B88" s="4">
        <v>6</v>
      </c>
      <c r="C88" s="4" t="s">
        <v>31</v>
      </c>
      <c r="D88" s="4">
        <v>0</v>
      </c>
      <c r="E88" s="4">
        <v>0</v>
      </c>
      <c r="F88" s="4">
        <v>2</v>
      </c>
      <c r="G88" s="4">
        <v>2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</row>
    <row r="89" spans="1:12">
      <c r="A89" s="3" t="s">
        <v>50</v>
      </c>
      <c r="B89" s="4">
        <v>7</v>
      </c>
      <c r="C89" s="4" t="s">
        <v>31</v>
      </c>
      <c r="D89" s="4">
        <v>2</v>
      </c>
      <c r="E89" s="4">
        <v>2</v>
      </c>
      <c r="F89" s="4">
        <v>1</v>
      </c>
      <c r="G89" s="4">
        <v>1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</row>
    <row r="90" spans="1:12">
      <c r="A90" s="3" t="s">
        <v>50</v>
      </c>
      <c r="B90" s="4">
        <v>8</v>
      </c>
      <c r="C90" s="4" t="s">
        <v>31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</row>
    <row r="91" spans="1:12">
      <c r="A91" s="3" t="s">
        <v>51</v>
      </c>
      <c r="B91" s="4">
        <v>1</v>
      </c>
      <c r="C91" s="4" t="s">
        <v>31</v>
      </c>
      <c r="D91" s="4">
        <v>21</v>
      </c>
      <c r="E91" s="4">
        <v>21</v>
      </c>
      <c r="F91" s="4">
        <v>7</v>
      </c>
      <c r="G91" s="4">
        <v>7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</row>
    <row r="92" spans="1:12">
      <c r="A92" s="3" t="s">
        <v>51</v>
      </c>
      <c r="B92" s="4">
        <v>5</v>
      </c>
      <c r="C92" s="4" t="s">
        <v>31</v>
      </c>
      <c r="D92" s="4">
        <v>15</v>
      </c>
      <c r="E92" s="4">
        <v>15</v>
      </c>
      <c r="F92" s="4">
        <v>10</v>
      </c>
      <c r="G92" s="4">
        <v>10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</row>
    <row r="93" spans="1:12">
      <c r="A93" s="3" t="s">
        <v>51</v>
      </c>
      <c r="B93" s="4">
        <v>5</v>
      </c>
      <c r="C93" s="4" t="s">
        <v>52</v>
      </c>
      <c r="D93" s="4">
        <v>7</v>
      </c>
      <c r="E93" s="4">
        <v>7</v>
      </c>
      <c r="F93" s="4">
        <v>8</v>
      </c>
      <c r="G93" s="4">
        <v>8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</row>
    <row r="94" spans="1:12">
      <c r="A94" s="3" t="s">
        <v>51</v>
      </c>
      <c r="B94" s="4">
        <v>9</v>
      </c>
      <c r="C94" s="4" t="s">
        <v>31</v>
      </c>
      <c r="D94" s="4">
        <v>5</v>
      </c>
      <c r="E94" s="4">
        <v>5</v>
      </c>
      <c r="F94" s="4">
        <v>3</v>
      </c>
      <c r="G94" s="4">
        <v>3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</row>
    <row r="95" spans="1:12">
      <c r="A95" s="3" t="s">
        <v>51</v>
      </c>
      <c r="B95" s="4">
        <v>11</v>
      </c>
      <c r="C95" s="4" t="s">
        <v>31</v>
      </c>
      <c r="D95" s="4">
        <v>21</v>
      </c>
      <c r="E95" s="4">
        <v>21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</row>
    <row r="96" spans="1:12">
      <c r="A96" s="3" t="s">
        <v>53</v>
      </c>
      <c r="B96" s="4">
        <v>5</v>
      </c>
      <c r="C96" s="4" t="s">
        <v>52</v>
      </c>
      <c r="D96" s="4">
        <v>60</v>
      </c>
      <c r="E96" s="4">
        <v>60</v>
      </c>
      <c r="F96" s="4">
        <v>99</v>
      </c>
      <c r="G96" s="4">
        <v>99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</row>
    <row r="97" spans="1:12">
      <c r="A97" s="3" t="s">
        <v>53</v>
      </c>
      <c r="B97" s="4">
        <v>6</v>
      </c>
      <c r="C97" s="4" t="s">
        <v>52</v>
      </c>
      <c r="D97" s="4">
        <v>1</v>
      </c>
      <c r="E97" s="4">
        <v>1</v>
      </c>
      <c r="F97" s="4">
        <v>2</v>
      </c>
      <c r="G97" s="4">
        <v>2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</row>
    <row r="98" spans="1:12">
      <c r="A98" s="3" t="s">
        <v>53</v>
      </c>
      <c r="B98" s="4">
        <v>7</v>
      </c>
      <c r="C98" s="4" t="s">
        <v>52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</row>
    <row r="99" spans="1:12">
      <c r="A99" s="3" t="s">
        <v>53</v>
      </c>
      <c r="B99" s="4">
        <v>8</v>
      </c>
      <c r="C99" s="4" t="s">
        <v>52</v>
      </c>
      <c r="D99" s="4">
        <v>1</v>
      </c>
      <c r="E99" s="4">
        <v>1</v>
      </c>
      <c r="F99" s="4">
        <v>4</v>
      </c>
      <c r="G99" s="4">
        <v>4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</row>
    <row r="100" spans="1:12">
      <c r="A100" s="3" t="s">
        <v>53</v>
      </c>
      <c r="B100" s="4">
        <v>9</v>
      </c>
      <c r="C100" s="4" t="s">
        <v>52</v>
      </c>
      <c r="D100" s="4">
        <v>90</v>
      </c>
      <c r="E100" s="4">
        <v>90</v>
      </c>
      <c r="F100" s="4">
        <v>148</v>
      </c>
      <c r="G100" s="4">
        <v>148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</row>
    <row r="101" spans="1:12">
      <c r="A101" s="3" t="s">
        <v>53</v>
      </c>
      <c r="B101" s="4">
        <v>10</v>
      </c>
      <c r="C101" s="4" t="s">
        <v>52</v>
      </c>
      <c r="D101" s="4">
        <v>7</v>
      </c>
      <c r="E101" s="4">
        <v>7</v>
      </c>
      <c r="F101" s="4">
        <v>1</v>
      </c>
      <c r="G101" s="4">
        <v>1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</row>
    <row r="102" spans="1:12">
      <c r="A102" s="3" t="s">
        <v>53</v>
      </c>
      <c r="B102" s="4">
        <v>11</v>
      </c>
      <c r="C102" s="4" t="s">
        <v>52</v>
      </c>
      <c r="D102" s="4">
        <v>150</v>
      </c>
      <c r="E102" s="4">
        <v>150</v>
      </c>
      <c r="F102" s="4">
        <v>57</v>
      </c>
      <c r="G102" s="4">
        <v>57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</row>
    <row r="103" spans="1:12">
      <c r="A103" s="3" t="s">
        <v>53</v>
      </c>
      <c r="B103" s="4">
        <v>12</v>
      </c>
      <c r="C103" s="4" t="s">
        <v>52</v>
      </c>
      <c r="D103" s="4">
        <v>8</v>
      </c>
      <c r="E103" s="4">
        <v>8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</row>
    <row r="104" spans="1:12">
      <c r="A104" s="3" t="s">
        <v>54</v>
      </c>
      <c r="B104" s="4">
        <v>1</v>
      </c>
      <c r="C104" s="4" t="s">
        <v>31</v>
      </c>
      <c r="D104" s="4">
        <v>24</v>
      </c>
      <c r="E104" s="4">
        <v>24</v>
      </c>
      <c r="F104" s="4">
        <v>18</v>
      </c>
      <c r="G104" s="4">
        <v>18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</row>
    <row r="105" spans="1:12">
      <c r="A105" s="3" t="s">
        <v>54</v>
      </c>
      <c r="B105" s="4">
        <v>2</v>
      </c>
      <c r="C105" s="4" t="s">
        <v>31</v>
      </c>
      <c r="D105" s="4">
        <v>0</v>
      </c>
      <c r="E105" s="4">
        <v>0</v>
      </c>
      <c r="F105" s="4">
        <v>2</v>
      </c>
      <c r="G105" s="4">
        <v>2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</row>
    <row r="106" spans="1:12">
      <c r="A106" s="3" t="s">
        <v>54</v>
      </c>
      <c r="B106" s="4">
        <v>3</v>
      </c>
      <c r="C106" s="4" t="s">
        <v>31</v>
      </c>
      <c r="D106" s="4">
        <v>4</v>
      </c>
      <c r="E106" s="4">
        <v>4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</row>
    <row r="107" spans="1:12">
      <c r="A107" s="3" t="s">
        <v>54</v>
      </c>
      <c r="B107" s="4">
        <v>4</v>
      </c>
      <c r="C107" s="4" t="s">
        <v>31</v>
      </c>
      <c r="D107" s="4">
        <v>7</v>
      </c>
      <c r="E107" s="4">
        <v>7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</row>
    <row r="108" spans="1:12">
      <c r="A108" s="3" t="s">
        <v>55</v>
      </c>
      <c r="B108" s="4">
        <v>9</v>
      </c>
      <c r="C108" s="4" t="s">
        <v>31</v>
      </c>
      <c r="D108" s="4">
        <v>180</v>
      </c>
      <c r="E108" s="4">
        <v>180</v>
      </c>
      <c r="F108" s="4">
        <v>167</v>
      </c>
      <c r="G108" s="4">
        <v>167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</row>
    <row r="109" spans="1:12">
      <c r="A109" s="3" t="s">
        <v>55</v>
      </c>
      <c r="B109" s="4">
        <v>11</v>
      </c>
      <c r="C109" s="4" t="s">
        <v>31</v>
      </c>
      <c r="D109" s="4">
        <v>150</v>
      </c>
      <c r="E109" s="4">
        <v>150</v>
      </c>
      <c r="F109" s="4">
        <v>47</v>
      </c>
      <c r="G109" s="4">
        <v>47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</row>
    <row r="110" spans="1:12">
      <c r="A110" s="3" t="s">
        <v>56</v>
      </c>
      <c r="B110" s="4">
        <v>1</v>
      </c>
      <c r="C110" s="4" t="s">
        <v>31</v>
      </c>
      <c r="D110" s="4">
        <v>72</v>
      </c>
      <c r="E110" s="4">
        <v>72</v>
      </c>
      <c r="F110" s="4">
        <v>92</v>
      </c>
      <c r="G110" s="4">
        <v>92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</row>
    <row r="111" spans="1:12">
      <c r="A111" s="3" t="s">
        <v>56</v>
      </c>
      <c r="B111" s="4">
        <v>2</v>
      </c>
      <c r="C111" s="4" t="s">
        <v>31</v>
      </c>
      <c r="D111" s="4">
        <v>4</v>
      </c>
      <c r="E111" s="4">
        <v>4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</row>
    <row r="112" spans="1:12">
      <c r="A112" s="3" t="s">
        <v>56</v>
      </c>
      <c r="B112" s="4">
        <v>3</v>
      </c>
      <c r="C112" s="4" t="s">
        <v>31</v>
      </c>
      <c r="D112" s="4">
        <v>5</v>
      </c>
      <c r="E112" s="4">
        <v>5</v>
      </c>
      <c r="F112" s="4">
        <v>1</v>
      </c>
      <c r="G112" s="4">
        <v>1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</row>
    <row r="113" spans="1:12">
      <c r="A113" s="3" t="s">
        <v>56</v>
      </c>
      <c r="B113" s="4">
        <v>4</v>
      </c>
      <c r="C113" s="4" t="s">
        <v>31</v>
      </c>
      <c r="D113" s="4">
        <v>2</v>
      </c>
      <c r="E113" s="4">
        <v>2</v>
      </c>
      <c r="F113" s="4">
        <v>5</v>
      </c>
      <c r="G113" s="4">
        <v>5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</row>
    <row r="114" spans="1:12">
      <c r="A114" s="3" t="s">
        <v>56</v>
      </c>
      <c r="B114" s="4">
        <v>5</v>
      </c>
      <c r="C114" s="4" t="s">
        <v>31</v>
      </c>
      <c r="D114" s="4">
        <v>120</v>
      </c>
      <c r="E114" s="4">
        <v>120</v>
      </c>
      <c r="F114" s="4">
        <v>99</v>
      </c>
      <c r="G114" s="4">
        <v>99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</row>
    <row r="115" spans="1:12">
      <c r="A115" s="3" t="s">
        <v>56</v>
      </c>
      <c r="B115" s="4">
        <v>6</v>
      </c>
      <c r="C115" s="4" t="s">
        <v>31</v>
      </c>
      <c r="D115" s="4">
        <v>10</v>
      </c>
      <c r="E115" s="4">
        <v>10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</row>
    <row r="116" spans="1:12">
      <c r="A116" s="3" t="s">
        <v>56</v>
      </c>
      <c r="B116" s="4">
        <v>7</v>
      </c>
      <c r="C116" s="4" t="s">
        <v>31</v>
      </c>
      <c r="D116" s="4">
        <v>7</v>
      </c>
      <c r="E116" s="4">
        <v>7</v>
      </c>
      <c r="F116" s="4">
        <v>3</v>
      </c>
      <c r="G116" s="4">
        <v>3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</row>
    <row r="117" spans="1:12">
      <c r="A117" s="3" t="s">
        <v>56</v>
      </c>
      <c r="B117" s="4">
        <v>8</v>
      </c>
      <c r="C117" s="4" t="s">
        <v>31</v>
      </c>
      <c r="D117" s="4">
        <v>16</v>
      </c>
      <c r="E117" s="4">
        <v>16</v>
      </c>
      <c r="F117" s="4">
        <v>1</v>
      </c>
      <c r="G117" s="4">
        <v>1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</row>
    <row r="118" spans="1:12">
      <c r="A118" s="3" t="s">
        <v>56</v>
      </c>
      <c r="B118" s="4">
        <v>9</v>
      </c>
      <c r="C118" s="4" t="s">
        <v>31</v>
      </c>
      <c r="D118" s="4">
        <v>150</v>
      </c>
      <c r="E118" s="4">
        <v>150</v>
      </c>
      <c r="F118" s="4">
        <v>66</v>
      </c>
      <c r="G118" s="4">
        <v>66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</row>
    <row r="119" spans="1:12">
      <c r="A119" s="3" t="s">
        <v>56</v>
      </c>
      <c r="B119" s="4">
        <v>10</v>
      </c>
      <c r="C119" s="4" t="s">
        <v>31</v>
      </c>
      <c r="D119" s="4">
        <v>8</v>
      </c>
      <c r="E119" s="4">
        <v>8</v>
      </c>
      <c r="F119" s="4">
        <v>1</v>
      </c>
      <c r="G119" s="4">
        <v>1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</row>
    <row r="120" spans="1:12">
      <c r="A120" s="3" t="s">
        <v>56</v>
      </c>
      <c r="B120" s="4">
        <v>11</v>
      </c>
      <c r="C120" s="4" t="s">
        <v>31</v>
      </c>
      <c r="D120" s="4">
        <v>90</v>
      </c>
      <c r="E120" s="4">
        <v>90</v>
      </c>
      <c r="F120" s="4">
        <v>43</v>
      </c>
      <c r="G120" s="4">
        <v>43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</row>
    <row r="121" spans="1:12">
      <c r="A121" s="3" t="s">
        <v>56</v>
      </c>
      <c r="B121" s="4">
        <v>12</v>
      </c>
      <c r="C121" s="4" t="s">
        <v>31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</row>
    <row r="122" spans="1:12">
      <c r="A122" s="3" t="s">
        <v>57</v>
      </c>
      <c r="B122" s="4">
        <v>1</v>
      </c>
      <c r="C122" s="4" t="s">
        <v>31</v>
      </c>
      <c r="D122" s="4">
        <v>72</v>
      </c>
      <c r="E122" s="4">
        <v>72</v>
      </c>
      <c r="F122" s="4">
        <v>63</v>
      </c>
      <c r="G122" s="4">
        <v>63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</row>
    <row r="123" spans="1:12">
      <c r="A123" s="3" t="s">
        <v>57</v>
      </c>
      <c r="B123" s="4">
        <v>2</v>
      </c>
      <c r="C123" s="4" t="s">
        <v>31</v>
      </c>
      <c r="D123" s="4">
        <v>0</v>
      </c>
      <c r="E123" s="4">
        <v>0</v>
      </c>
      <c r="F123" s="4">
        <v>3</v>
      </c>
      <c r="G123" s="4">
        <v>3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</row>
    <row r="124" spans="1:12">
      <c r="A124" s="3" t="s">
        <v>57</v>
      </c>
      <c r="B124" s="4">
        <v>3</v>
      </c>
      <c r="C124" s="4" t="s">
        <v>31</v>
      </c>
      <c r="D124" s="4">
        <v>1</v>
      </c>
      <c r="E124" s="4">
        <v>1</v>
      </c>
      <c r="F124" s="4">
        <v>2</v>
      </c>
      <c r="G124" s="4">
        <v>2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</row>
    <row r="125" spans="1:12">
      <c r="A125" s="3" t="s">
        <v>57</v>
      </c>
      <c r="B125" s="4">
        <v>4</v>
      </c>
      <c r="C125" s="4" t="s">
        <v>31</v>
      </c>
      <c r="D125" s="4">
        <v>0</v>
      </c>
      <c r="E125" s="4">
        <v>0</v>
      </c>
      <c r="F125" s="4">
        <v>1</v>
      </c>
      <c r="G125" s="4">
        <v>1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</row>
    <row r="126" spans="1:12">
      <c r="A126" s="3" t="s">
        <v>57</v>
      </c>
      <c r="B126" s="4">
        <v>5</v>
      </c>
      <c r="C126" s="4" t="s">
        <v>31</v>
      </c>
      <c r="D126" s="4">
        <v>90</v>
      </c>
      <c r="E126" s="4">
        <v>90</v>
      </c>
      <c r="F126" s="4">
        <v>17</v>
      </c>
      <c r="G126" s="4">
        <v>17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</row>
    <row r="127" spans="1:12">
      <c r="A127" s="3" t="s">
        <v>57</v>
      </c>
      <c r="B127" s="4">
        <v>6</v>
      </c>
      <c r="C127" s="4" t="s">
        <v>31</v>
      </c>
      <c r="D127" s="4">
        <v>5</v>
      </c>
      <c r="E127" s="4">
        <v>5</v>
      </c>
      <c r="F127" s="4">
        <v>2</v>
      </c>
      <c r="G127" s="4">
        <v>2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</row>
    <row r="128" spans="1:12">
      <c r="A128" s="3" t="s">
        <v>57</v>
      </c>
      <c r="B128" s="4">
        <v>7</v>
      </c>
      <c r="C128" s="4" t="s">
        <v>31</v>
      </c>
      <c r="D128" s="4">
        <v>7</v>
      </c>
      <c r="E128" s="4">
        <v>7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</row>
    <row r="129" spans="1:12">
      <c r="A129" s="3" t="s">
        <v>57</v>
      </c>
      <c r="B129" s="4">
        <v>8</v>
      </c>
      <c r="C129" s="4" t="s">
        <v>31</v>
      </c>
      <c r="D129" s="4">
        <v>4</v>
      </c>
      <c r="E129" s="4">
        <v>4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</row>
    <row r="130" spans="1:12">
      <c r="A130" s="3" t="s">
        <v>57</v>
      </c>
      <c r="B130" s="4">
        <v>9</v>
      </c>
      <c r="C130" s="4" t="s">
        <v>31</v>
      </c>
      <c r="D130" s="4">
        <v>60</v>
      </c>
      <c r="E130" s="4">
        <v>60</v>
      </c>
      <c r="F130" s="4">
        <v>9</v>
      </c>
      <c r="G130" s="4">
        <v>9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</row>
    <row r="131" spans="1:12">
      <c r="A131" s="3" t="s">
        <v>57</v>
      </c>
      <c r="B131" s="4">
        <v>10</v>
      </c>
      <c r="C131" s="4" t="s">
        <v>31</v>
      </c>
      <c r="D131" s="4">
        <v>3</v>
      </c>
      <c r="E131" s="4">
        <v>3</v>
      </c>
      <c r="F131" s="4">
        <v>1</v>
      </c>
      <c r="G131" s="4">
        <v>1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</row>
    <row r="132" spans="1:12">
      <c r="A132" s="3" t="s">
        <v>57</v>
      </c>
      <c r="B132" s="4">
        <v>11</v>
      </c>
      <c r="C132" s="4" t="s">
        <v>31</v>
      </c>
      <c r="D132" s="4">
        <v>60</v>
      </c>
      <c r="E132" s="4">
        <v>60</v>
      </c>
      <c r="F132" s="4">
        <v>4</v>
      </c>
      <c r="G132" s="4">
        <v>4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</row>
    <row r="133" spans="1:12">
      <c r="A133" s="3" t="s">
        <v>57</v>
      </c>
      <c r="B133" s="4">
        <v>12</v>
      </c>
      <c r="C133" s="4" t="s">
        <v>31</v>
      </c>
      <c r="D133" s="4">
        <v>1</v>
      </c>
      <c r="E133" s="4">
        <v>1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</row>
    <row r="134" spans="1:12">
      <c r="A134" s="3" t="s">
        <v>58</v>
      </c>
      <c r="B134" s="4">
        <v>1</v>
      </c>
      <c r="C134" s="4" t="s">
        <v>31</v>
      </c>
      <c r="D134" s="4">
        <v>96</v>
      </c>
      <c r="E134" s="4">
        <v>96</v>
      </c>
      <c r="F134" s="4">
        <v>131</v>
      </c>
      <c r="G134" s="4">
        <v>131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</row>
    <row r="135" spans="1:12">
      <c r="A135" s="3" t="s">
        <v>58</v>
      </c>
      <c r="B135" s="4">
        <v>2</v>
      </c>
      <c r="C135" s="4" t="s">
        <v>31</v>
      </c>
      <c r="D135" s="4">
        <v>0</v>
      </c>
      <c r="E135" s="4">
        <v>0</v>
      </c>
      <c r="F135" s="4">
        <v>2</v>
      </c>
      <c r="G135" s="4">
        <v>2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</row>
    <row r="136" spans="1:12">
      <c r="A136" s="3" t="s">
        <v>58</v>
      </c>
      <c r="B136" s="4">
        <v>3</v>
      </c>
      <c r="C136" s="4" t="s">
        <v>31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</row>
    <row r="137" spans="1:12">
      <c r="A137" s="3" t="s">
        <v>58</v>
      </c>
      <c r="B137" s="4">
        <v>4</v>
      </c>
      <c r="C137" s="4" t="s">
        <v>31</v>
      </c>
      <c r="D137" s="4">
        <v>0</v>
      </c>
      <c r="E137" s="4">
        <v>0</v>
      </c>
      <c r="F137" s="4">
        <v>2</v>
      </c>
      <c r="G137" s="4">
        <v>2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</row>
    <row r="138" spans="1:12">
      <c r="A138" s="3" t="s">
        <v>58</v>
      </c>
      <c r="B138" s="4">
        <v>5</v>
      </c>
      <c r="C138" s="4" t="s">
        <v>31</v>
      </c>
      <c r="D138" s="4">
        <v>180</v>
      </c>
      <c r="E138" s="4">
        <v>180</v>
      </c>
      <c r="F138" s="4">
        <v>143</v>
      </c>
      <c r="G138" s="4">
        <v>143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</row>
    <row r="139" spans="1:12">
      <c r="A139" s="3" t="s">
        <v>58</v>
      </c>
      <c r="B139" s="4">
        <v>6</v>
      </c>
      <c r="C139" s="4" t="s">
        <v>31</v>
      </c>
      <c r="D139" s="4">
        <v>14</v>
      </c>
      <c r="E139" s="4">
        <v>14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</row>
    <row r="140" spans="1:12">
      <c r="A140" s="3" t="s">
        <v>58</v>
      </c>
      <c r="B140" s="4">
        <v>7</v>
      </c>
      <c r="C140" s="4" t="s">
        <v>31</v>
      </c>
      <c r="D140" s="4">
        <v>31</v>
      </c>
      <c r="E140" s="4">
        <v>31</v>
      </c>
      <c r="F140" s="4">
        <v>3</v>
      </c>
      <c r="G140" s="4">
        <v>3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</row>
    <row r="141" spans="1:12">
      <c r="A141" s="3" t="s">
        <v>58</v>
      </c>
      <c r="B141" s="4">
        <v>8</v>
      </c>
      <c r="C141" s="4" t="s">
        <v>31</v>
      </c>
      <c r="D141" s="4">
        <v>13</v>
      </c>
      <c r="E141" s="4">
        <v>13</v>
      </c>
      <c r="F141" s="4">
        <v>1</v>
      </c>
      <c r="G141" s="4">
        <v>1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</row>
    <row r="142" spans="1:12">
      <c r="A142" s="3" t="s">
        <v>59</v>
      </c>
      <c r="B142" s="4">
        <v>1</v>
      </c>
      <c r="C142" s="4" t="s">
        <v>31</v>
      </c>
      <c r="D142" s="4">
        <v>72</v>
      </c>
      <c r="E142" s="4">
        <v>72</v>
      </c>
      <c r="F142" s="4">
        <v>146</v>
      </c>
      <c r="G142" s="4">
        <v>146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</row>
    <row r="143" spans="1:12">
      <c r="A143" s="3" t="s">
        <v>59</v>
      </c>
      <c r="B143" s="4">
        <v>2</v>
      </c>
      <c r="C143" s="4" t="s">
        <v>31</v>
      </c>
      <c r="D143" s="4">
        <v>12</v>
      </c>
      <c r="E143" s="4">
        <v>12</v>
      </c>
      <c r="F143" s="4">
        <v>1</v>
      </c>
      <c r="G143" s="4">
        <v>1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</row>
    <row r="144" spans="1:12">
      <c r="A144" s="3" t="s">
        <v>59</v>
      </c>
      <c r="B144" s="4">
        <v>3</v>
      </c>
      <c r="C144" s="4" t="s">
        <v>31</v>
      </c>
      <c r="D144" s="4">
        <v>12</v>
      </c>
      <c r="E144" s="4">
        <v>12</v>
      </c>
      <c r="F144" s="4">
        <v>2</v>
      </c>
      <c r="G144" s="4">
        <v>2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</row>
    <row r="145" spans="1:12">
      <c r="A145" s="3" t="s">
        <v>59</v>
      </c>
      <c r="B145" s="4">
        <v>4</v>
      </c>
      <c r="C145" s="4" t="s">
        <v>31</v>
      </c>
      <c r="D145" s="4">
        <v>3</v>
      </c>
      <c r="E145" s="4">
        <v>3</v>
      </c>
      <c r="F145" s="4">
        <v>1</v>
      </c>
      <c r="G145" s="4">
        <v>1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</row>
    <row r="146" spans="1:12">
      <c r="A146" s="3" t="s">
        <v>59</v>
      </c>
      <c r="B146" s="4">
        <v>5</v>
      </c>
      <c r="C146" s="4" t="s">
        <v>31</v>
      </c>
      <c r="D146" s="4">
        <v>150</v>
      </c>
      <c r="E146" s="4">
        <v>150</v>
      </c>
      <c r="F146" s="4">
        <v>119</v>
      </c>
      <c r="G146" s="4">
        <v>119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</row>
    <row r="147" spans="1:12">
      <c r="A147" s="3" t="s">
        <v>59</v>
      </c>
      <c r="B147" s="4">
        <v>6</v>
      </c>
      <c r="C147" s="4" t="s">
        <v>31</v>
      </c>
      <c r="D147" s="4">
        <v>7</v>
      </c>
      <c r="E147" s="4">
        <v>7</v>
      </c>
      <c r="F147" s="4">
        <v>1</v>
      </c>
      <c r="G147" s="4">
        <v>1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</row>
    <row r="148" spans="1:12">
      <c r="A148" s="3" t="s">
        <v>59</v>
      </c>
      <c r="B148" s="4">
        <v>7</v>
      </c>
      <c r="C148" s="4" t="s">
        <v>31</v>
      </c>
      <c r="D148" s="4">
        <v>11</v>
      </c>
      <c r="E148" s="4">
        <v>11</v>
      </c>
      <c r="F148" s="4">
        <v>2</v>
      </c>
      <c r="G148" s="4">
        <v>2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</row>
    <row r="149" spans="1:12">
      <c r="A149" s="3" t="s">
        <v>59</v>
      </c>
      <c r="B149" s="4">
        <v>8</v>
      </c>
      <c r="C149" s="4" t="s">
        <v>31</v>
      </c>
      <c r="D149" s="4">
        <v>25</v>
      </c>
      <c r="E149" s="4">
        <v>25</v>
      </c>
      <c r="F149" s="4">
        <v>1</v>
      </c>
      <c r="G149" s="4">
        <v>1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</row>
    <row r="150" spans="1:12">
      <c r="A150" s="3" t="s">
        <v>60</v>
      </c>
      <c r="B150" s="4">
        <v>9</v>
      </c>
      <c r="C150" s="4" t="s">
        <v>31</v>
      </c>
      <c r="D150" s="4">
        <v>240</v>
      </c>
      <c r="E150" s="4">
        <v>240</v>
      </c>
      <c r="F150" s="4">
        <v>203</v>
      </c>
      <c r="G150" s="4">
        <v>203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</row>
    <row r="151" spans="1:12">
      <c r="A151" s="3" t="s">
        <v>60</v>
      </c>
      <c r="B151" s="4">
        <v>10</v>
      </c>
      <c r="C151" s="4" t="s">
        <v>31</v>
      </c>
      <c r="D151" s="4">
        <v>30</v>
      </c>
      <c r="E151" s="4">
        <v>30</v>
      </c>
      <c r="F151" s="4">
        <v>8</v>
      </c>
      <c r="G151" s="4">
        <v>8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</row>
    <row r="152" spans="1:12">
      <c r="A152" s="3" t="s">
        <v>60</v>
      </c>
      <c r="B152" s="4">
        <v>11</v>
      </c>
      <c r="C152" s="4" t="s">
        <v>31</v>
      </c>
      <c r="D152" s="4">
        <v>210</v>
      </c>
      <c r="E152" s="4">
        <v>210</v>
      </c>
      <c r="F152" s="4">
        <v>36</v>
      </c>
      <c r="G152" s="4">
        <v>36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</row>
    <row r="153" spans="1:12">
      <c r="A153" s="3" t="s">
        <v>60</v>
      </c>
      <c r="B153" s="4">
        <v>12</v>
      </c>
      <c r="C153" s="4" t="s">
        <v>31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</row>
    <row r="154" spans="1:12">
      <c r="A154" s="3" t="s">
        <v>61</v>
      </c>
      <c r="B154" s="4">
        <v>9</v>
      </c>
      <c r="C154" s="4" t="s">
        <v>40</v>
      </c>
      <c r="D154" s="4">
        <v>135</v>
      </c>
      <c r="E154" s="4">
        <v>135</v>
      </c>
      <c r="F154" s="4">
        <v>100</v>
      </c>
      <c r="G154" s="4">
        <v>100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</row>
    <row r="155" spans="1:12">
      <c r="A155" s="3" t="s">
        <v>61</v>
      </c>
      <c r="B155" s="4">
        <v>11</v>
      </c>
      <c r="C155" s="4" t="s">
        <v>40</v>
      </c>
      <c r="D155" s="4">
        <v>146</v>
      </c>
      <c r="E155" s="4">
        <v>146</v>
      </c>
      <c r="F155" s="4">
        <v>21</v>
      </c>
      <c r="G155" s="4">
        <v>21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</row>
    <row r="156" spans="1:12">
      <c r="A156" s="3" t="s">
        <v>62</v>
      </c>
      <c r="B156" s="4">
        <v>9</v>
      </c>
      <c r="C156" s="4" t="s">
        <v>31</v>
      </c>
      <c r="D156" s="4">
        <v>30</v>
      </c>
      <c r="E156" s="4">
        <v>30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</row>
    <row r="157" spans="1:12">
      <c r="A157" s="3" t="s">
        <v>62</v>
      </c>
      <c r="B157" s="4">
        <v>10</v>
      </c>
      <c r="C157" s="4" t="s">
        <v>31</v>
      </c>
      <c r="D157" s="4">
        <v>20</v>
      </c>
      <c r="E157" s="4">
        <v>20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</row>
    <row r="158" spans="1:12">
      <c r="A158" s="3" t="s">
        <v>62</v>
      </c>
      <c r="B158" s="4">
        <v>10</v>
      </c>
      <c r="C158" s="4" t="s">
        <v>52</v>
      </c>
      <c r="D158" s="4">
        <v>27</v>
      </c>
      <c r="E158" s="4">
        <v>27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</row>
    <row r="159" spans="1:12">
      <c r="A159" s="3" t="s">
        <v>62</v>
      </c>
      <c r="B159" s="4">
        <v>11</v>
      </c>
      <c r="C159" s="4" t="s">
        <v>31</v>
      </c>
      <c r="D159" s="4">
        <v>150</v>
      </c>
      <c r="E159" s="4">
        <v>150</v>
      </c>
      <c r="F159" s="4">
        <v>5</v>
      </c>
      <c r="G159" s="4">
        <v>5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</row>
    <row r="160" spans="1:12">
      <c r="A160" s="3" t="s">
        <v>62</v>
      </c>
      <c r="B160" s="4">
        <v>11</v>
      </c>
      <c r="C160" s="4" t="s">
        <v>52</v>
      </c>
      <c r="D160" s="4">
        <v>30</v>
      </c>
      <c r="E160" s="4">
        <v>30</v>
      </c>
      <c r="F160" s="4">
        <v>1</v>
      </c>
      <c r="G160" s="4">
        <v>1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</row>
    <row r="161" spans="1:12">
      <c r="A161" s="3" t="s">
        <v>62</v>
      </c>
      <c r="B161" s="4">
        <v>12</v>
      </c>
      <c r="C161" s="4" t="s">
        <v>31</v>
      </c>
      <c r="D161" s="4">
        <v>80</v>
      </c>
      <c r="E161" s="4">
        <v>80</v>
      </c>
      <c r="F161" s="4">
        <v>6</v>
      </c>
      <c r="G161" s="4">
        <v>6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</row>
    <row r="162" spans="1:12">
      <c r="A162" s="3" t="s">
        <v>62</v>
      </c>
      <c r="B162" s="4">
        <v>12</v>
      </c>
      <c r="C162" s="4" t="s">
        <v>52</v>
      </c>
      <c r="D162" s="4">
        <v>40</v>
      </c>
      <c r="E162" s="4">
        <v>40</v>
      </c>
      <c r="F162" s="4">
        <v>1</v>
      </c>
      <c r="G162" s="4">
        <v>1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</row>
    <row r="163" spans="1:12">
      <c r="A163" s="3" t="s">
        <v>63</v>
      </c>
      <c r="B163" s="4">
        <v>1</v>
      </c>
      <c r="C163" s="4" t="s">
        <v>31</v>
      </c>
      <c r="D163" s="4">
        <v>48</v>
      </c>
      <c r="E163" s="4">
        <v>48</v>
      </c>
      <c r="F163" s="4">
        <v>35</v>
      </c>
      <c r="G163" s="4">
        <v>35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</row>
    <row r="164" spans="1:12">
      <c r="A164" s="3" t="s">
        <v>63</v>
      </c>
      <c r="B164" s="4">
        <v>2</v>
      </c>
      <c r="C164" s="4" t="s">
        <v>31</v>
      </c>
      <c r="D164" s="4">
        <v>0</v>
      </c>
      <c r="E164" s="4">
        <v>0</v>
      </c>
      <c r="F164" s="4">
        <v>1</v>
      </c>
      <c r="G164" s="4">
        <v>1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</row>
    <row r="165" spans="1:12">
      <c r="A165" s="3" t="s">
        <v>63</v>
      </c>
      <c r="B165" s="4">
        <v>3</v>
      </c>
      <c r="C165" s="4" t="s">
        <v>31</v>
      </c>
      <c r="D165" s="4">
        <v>0</v>
      </c>
      <c r="E165" s="4">
        <v>0</v>
      </c>
      <c r="F165" s="4">
        <v>1</v>
      </c>
      <c r="G165" s="4">
        <v>1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</row>
    <row r="166" spans="1:12">
      <c r="A166" s="3" t="s">
        <v>63</v>
      </c>
      <c r="B166" s="4">
        <v>4</v>
      </c>
      <c r="C166" s="4" t="s">
        <v>31</v>
      </c>
      <c r="D166" s="4">
        <v>0</v>
      </c>
      <c r="E166" s="4">
        <v>0</v>
      </c>
      <c r="F166" s="4">
        <v>1</v>
      </c>
      <c r="G166" s="4">
        <v>1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</row>
    <row r="167" spans="1:12">
      <c r="A167" s="3" t="s">
        <v>63</v>
      </c>
      <c r="B167" s="4">
        <v>5</v>
      </c>
      <c r="C167" s="4" t="s">
        <v>31</v>
      </c>
      <c r="D167" s="4">
        <v>50</v>
      </c>
      <c r="E167" s="4">
        <v>50</v>
      </c>
      <c r="F167" s="4">
        <v>28</v>
      </c>
      <c r="G167" s="4">
        <v>28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</row>
    <row r="168" spans="1:12">
      <c r="A168" s="3" t="s">
        <v>63</v>
      </c>
      <c r="B168" s="4">
        <v>6</v>
      </c>
      <c r="C168" s="4" t="s">
        <v>31</v>
      </c>
      <c r="D168" s="4">
        <v>0</v>
      </c>
      <c r="E168" s="4">
        <v>0</v>
      </c>
      <c r="F168" s="4">
        <v>1</v>
      </c>
      <c r="G168" s="4">
        <v>1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</row>
    <row r="169" spans="1:12">
      <c r="A169" s="3" t="s">
        <v>63</v>
      </c>
      <c r="B169" s="4">
        <v>7</v>
      </c>
      <c r="C169" s="4" t="s">
        <v>31</v>
      </c>
      <c r="D169" s="4">
        <v>0</v>
      </c>
      <c r="E169" s="4">
        <v>0</v>
      </c>
      <c r="F169" s="4">
        <v>1</v>
      </c>
      <c r="G169" s="4">
        <v>1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</row>
    <row r="170" spans="1:12">
      <c r="A170" s="3" t="s">
        <v>63</v>
      </c>
      <c r="B170" s="4">
        <v>8</v>
      </c>
      <c r="C170" s="4" t="s">
        <v>31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</row>
    <row r="171" spans="1:12">
      <c r="A171" s="3" t="s">
        <v>63</v>
      </c>
      <c r="B171" s="4">
        <v>9</v>
      </c>
      <c r="C171" s="4" t="s">
        <v>31</v>
      </c>
      <c r="D171" s="4">
        <v>50</v>
      </c>
      <c r="E171" s="4">
        <v>50</v>
      </c>
      <c r="F171" s="4">
        <v>14</v>
      </c>
      <c r="G171" s="4">
        <v>14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</row>
    <row r="172" spans="1:12">
      <c r="A172" s="3" t="s">
        <v>63</v>
      </c>
      <c r="B172" s="4">
        <v>10</v>
      </c>
      <c r="C172" s="4" t="s">
        <v>31</v>
      </c>
      <c r="D172" s="4">
        <v>0</v>
      </c>
      <c r="E172" s="4">
        <v>0</v>
      </c>
      <c r="F172" s="4">
        <v>1</v>
      </c>
      <c r="G172" s="4">
        <v>1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</row>
    <row r="173" spans="1:12">
      <c r="A173" s="3" t="s">
        <v>63</v>
      </c>
      <c r="B173" s="4">
        <v>11</v>
      </c>
      <c r="C173" s="4" t="s">
        <v>31</v>
      </c>
      <c r="D173" s="4">
        <v>50</v>
      </c>
      <c r="E173" s="4">
        <v>50</v>
      </c>
      <c r="F173" s="4">
        <v>18</v>
      </c>
      <c r="G173" s="4">
        <v>18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</row>
    <row r="174" spans="1:12">
      <c r="A174" s="3" t="s">
        <v>63</v>
      </c>
      <c r="B174" s="4">
        <v>12</v>
      </c>
      <c r="C174" s="4" t="s">
        <v>31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</row>
    <row r="175" spans="1:12">
      <c r="A175" s="3" t="s">
        <v>64</v>
      </c>
      <c r="B175" s="4">
        <v>1</v>
      </c>
      <c r="C175" s="4" t="s">
        <v>52</v>
      </c>
      <c r="D175" s="4">
        <v>72</v>
      </c>
      <c r="E175" s="4">
        <v>72</v>
      </c>
      <c r="F175" s="4">
        <v>81</v>
      </c>
      <c r="G175" s="4">
        <v>81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</row>
    <row r="176" spans="1:12">
      <c r="A176" s="3" t="s">
        <v>64</v>
      </c>
      <c r="B176" s="4">
        <v>2</v>
      </c>
      <c r="C176" s="4" t="s">
        <v>52</v>
      </c>
      <c r="D176" s="4">
        <v>15</v>
      </c>
      <c r="E176" s="4">
        <v>15</v>
      </c>
      <c r="F176" s="4">
        <v>2</v>
      </c>
      <c r="G176" s="4">
        <v>2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</row>
    <row r="177" spans="1:12">
      <c r="A177" s="3" t="s">
        <v>64</v>
      </c>
      <c r="B177" s="4">
        <v>3</v>
      </c>
      <c r="C177" s="4" t="s">
        <v>52</v>
      </c>
      <c r="D177" s="4">
        <v>5</v>
      </c>
      <c r="E177" s="4">
        <v>5</v>
      </c>
      <c r="F177" s="4">
        <v>2</v>
      </c>
      <c r="G177" s="4">
        <v>2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</row>
    <row r="178" spans="1:12">
      <c r="A178" s="3" t="s">
        <v>64</v>
      </c>
      <c r="B178" s="4">
        <v>4</v>
      </c>
      <c r="C178" s="4" t="s">
        <v>52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</row>
    <row r="179" spans="1:12">
      <c r="A179" s="3" t="s">
        <v>64</v>
      </c>
      <c r="B179" s="4">
        <v>5</v>
      </c>
      <c r="C179" s="4" t="s">
        <v>52</v>
      </c>
      <c r="D179" s="4">
        <v>15</v>
      </c>
      <c r="E179" s="4">
        <v>15</v>
      </c>
      <c r="F179" s="4">
        <v>76</v>
      </c>
      <c r="G179" s="4">
        <v>76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</row>
    <row r="180" spans="1:12">
      <c r="A180" s="3" t="s">
        <v>64</v>
      </c>
      <c r="B180" s="4">
        <v>6</v>
      </c>
      <c r="C180" s="4" t="s">
        <v>52</v>
      </c>
      <c r="D180" s="4">
        <v>3</v>
      </c>
      <c r="E180" s="4">
        <v>3</v>
      </c>
      <c r="F180" s="4">
        <v>3</v>
      </c>
      <c r="G180" s="4">
        <v>3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</row>
    <row r="181" spans="1:12">
      <c r="A181" s="3" t="s">
        <v>64</v>
      </c>
      <c r="B181" s="4">
        <v>7</v>
      </c>
      <c r="C181" s="4" t="s">
        <v>52</v>
      </c>
      <c r="D181" s="4">
        <v>1</v>
      </c>
      <c r="E181" s="4">
        <v>1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</row>
    <row r="182" spans="1:12">
      <c r="A182" s="3" t="s">
        <v>64</v>
      </c>
      <c r="B182" s="4">
        <v>8</v>
      </c>
      <c r="C182" s="4" t="s">
        <v>52</v>
      </c>
      <c r="D182" s="4">
        <v>0</v>
      </c>
      <c r="E182" s="4">
        <v>0</v>
      </c>
      <c r="F182" s="4">
        <v>3</v>
      </c>
      <c r="G182" s="4">
        <v>3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</row>
    <row r="183" spans="1:12">
      <c r="A183" s="3" t="s">
        <v>65</v>
      </c>
      <c r="B183" s="4">
        <v>1</v>
      </c>
      <c r="C183" s="4" t="s">
        <v>31</v>
      </c>
      <c r="D183" s="4">
        <v>96</v>
      </c>
      <c r="E183" s="4">
        <v>96</v>
      </c>
      <c r="F183" s="4">
        <v>100</v>
      </c>
      <c r="G183" s="4">
        <v>100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</row>
    <row r="184" spans="1:12">
      <c r="A184" s="3" t="s">
        <v>65</v>
      </c>
      <c r="B184" s="4">
        <v>2</v>
      </c>
      <c r="C184" s="4" t="s">
        <v>31</v>
      </c>
      <c r="D184" s="4">
        <v>23</v>
      </c>
      <c r="E184" s="4">
        <v>23</v>
      </c>
      <c r="F184" s="4">
        <v>1</v>
      </c>
      <c r="G184" s="4">
        <v>1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</row>
    <row r="185" spans="1:12">
      <c r="A185" s="3" t="s">
        <v>65</v>
      </c>
      <c r="B185" s="4">
        <v>3</v>
      </c>
      <c r="C185" s="4" t="s">
        <v>31</v>
      </c>
      <c r="D185" s="4">
        <v>8</v>
      </c>
      <c r="E185" s="4">
        <v>8</v>
      </c>
      <c r="F185" s="4">
        <v>2</v>
      </c>
      <c r="G185" s="4">
        <v>2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</row>
    <row r="186" spans="1:12">
      <c r="A186" s="3" t="s">
        <v>65</v>
      </c>
      <c r="B186" s="4">
        <v>4</v>
      </c>
      <c r="C186" s="4" t="s">
        <v>31</v>
      </c>
      <c r="D186" s="4">
        <v>1</v>
      </c>
      <c r="E186" s="4">
        <v>1</v>
      </c>
      <c r="F186" s="4">
        <v>4</v>
      </c>
      <c r="G186" s="4">
        <v>4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</row>
    <row r="187" spans="1:12">
      <c r="A187" s="3" t="s">
        <v>65</v>
      </c>
      <c r="B187" s="4">
        <v>5</v>
      </c>
      <c r="C187" s="4" t="s">
        <v>31</v>
      </c>
      <c r="D187" s="4">
        <v>150</v>
      </c>
      <c r="E187" s="4">
        <v>150</v>
      </c>
      <c r="F187" s="4">
        <v>254</v>
      </c>
      <c r="G187" s="4">
        <v>254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</row>
    <row r="188" spans="1:12">
      <c r="A188" s="3" t="s">
        <v>65</v>
      </c>
      <c r="B188" s="4">
        <v>6</v>
      </c>
      <c r="C188" s="4" t="s">
        <v>31</v>
      </c>
      <c r="D188" s="4">
        <v>10</v>
      </c>
      <c r="E188" s="4">
        <v>10</v>
      </c>
      <c r="F188" s="4">
        <v>2</v>
      </c>
      <c r="G188" s="4">
        <v>2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</row>
    <row r="189" spans="1:12">
      <c r="A189" s="3" t="s">
        <v>65</v>
      </c>
      <c r="B189" s="4">
        <v>7</v>
      </c>
      <c r="C189" s="4" t="s">
        <v>31</v>
      </c>
      <c r="D189" s="4">
        <v>42</v>
      </c>
      <c r="E189" s="4">
        <v>42</v>
      </c>
      <c r="F189" s="4">
        <v>2</v>
      </c>
      <c r="G189" s="4">
        <v>2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</row>
    <row r="190" spans="1:12">
      <c r="A190" s="3" t="s">
        <v>65</v>
      </c>
      <c r="B190" s="4">
        <v>8</v>
      </c>
      <c r="C190" s="4" t="s">
        <v>31</v>
      </c>
      <c r="D190" s="4">
        <v>4</v>
      </c>
      <c r="E190" s="4">
        <v>4</v>
      </c>
      <c r="F190" s="4">
        <v>3</v>
      </c>
      <c r="G190" s="4">
        <v>3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</row>
    <row r="191" spans="1:12">
      <c r="A191" s="3" t="s">
        <v>66</v>
      </c>
      <c r="B191" s="4">
        <v>1</v>
      </c>
      <c r="C191" s="4" t="s">
        <v>40</v>
      </c>
      <c r="D191" s="4">
        <v>48</v>
      </c>
      <c r="E191" s="4">
        <v>48</v>
      </c>
      <c r="F191" s="4">
        <v>31</v>
      </c>
      <c r="G191" s="4">
        <v>31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</row>
    <row r="192" spans="1:12">
      <c r="A192" s="3" t="s">
        <v>66</v>
      </c>
      <c r="B192" s="4">
        <v>2</v>
      </c>
      <c r="C192" s="4" t="s">
        <v>40</v>
      </c>
      <c r="D192" s="4">
        <v>6</v>
      </c>
      <c r="E192" s="4">
        <v>6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</row>
    <row r="193" spans="1:12">
      <c r="A193" s="3" t="s">
        <v>66</v>
      </c>
      <c r="B193" s="4">
        <v>3</v>
      </c>
      <c r="C193" s="4" t="s">
        <v>40</v>
      </c>
      <c r="D193" s="4">
        <v>11</v>
      </c>
      <c r="E193" s="4">
        <v>11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</row>
    <row r="194" spans="1:12">
      <c r="A194" s="3" t="s">
        <v>66</v>
      </c>
      <c r="B194" s="4">
        <v>4</v>
      </c>
      <c r="C194" s="4" t="s">
        <v>40</v>
      </c>
      <c r="D194" s="4">
        <v>1</v>
      </c>
      <c r="E194" s="4">
        <v>1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</row>
    <row r="195" spans="1:12">
      <c r="A195" s="3" t="s">
        <v>66</v>
      </c>
      <c r="B195" s="4">
        <v>5</v>
      </c>
      <c r="C195" s="4" t="s">
        <v>40</v>
      </c>
      <c r="D195" s="4">
        <v>60</v>
      </c>
      <c r="E195" s="4">
        <v>60</v>
      </c>
      <c r="F195" s="4">
        <v>34</v>
      </c>
      <c r="G195" s="4">
        <v>34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</row>
    <row r="196" spans="1:12">
      <c r="A196" s="3" t="s">
        <v>66</v>
      </c>
      <c r="B196" s="4">
        <v>6</v>
      </c>
      <c r="C196" s="4" t="s">
        <v>40</v>
      </c>
      <c r="D196" s="4">
        <v>13</v>
      </c>
      <c r="E196" s="4">
        <v>13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</row>
    <row r="197" spans="1:12">
      <c r="A197" s="3" t="s">
        <v>66</v>
      </c>
      <c r="B197" s="4">
        <v>7</v>
      </c>
      <c r="C197" s="4" t="s">
        <v>40</v>
      </c>
      <c r="D197" s="4">
        <v>6</v>
      </c>
      <c r="E197" s="4">
        <v>6</v>
      </c>
      <c r="F197" s="4">
        <v>1</v>
      </c>
      <c r="G197" s="4">
        <v>1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</row>
    <row r="198" spans="1:12">
      <c r="A198" s="3" t="s">
        <v>66</v>
      </c>
      <c r="B198" s="4">
        <v>8</v>
      </c>
      <c r="C198" s="4" t="s">
        <v>40</v>
      </c>
      <c r="D198" s="4">
        <v>16</v>
      </c>
      <c r="E198" s="4">
        <v>16</v>
      </c>
      <c r="F198" s="4">
        <v>1</v>
      </c>
      <c r="G198" s="4">
        <v>1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</row>
    <row r="199" spans="1:12">
      <c r="A199" s="3" t="s">
        <v>66</v>
      </c>
      <c r="B199" s="4">
        <v>9</v>
      </c>
      <c r="C199" s="4" t="s">
        <v>40</v>
      </c>
      <c r="D199" s="4">
        <v>60</v>
      </c>
      <c r="E199" s="4">
        <v>60</v>
      </c>
      <c r="F199" s="4">
        <v>31</v>
      </c>
      <c r="G199" s="4">
        <v>31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</row>
    <row r="200" spans="1:12">
      <c r="A200" s="3" t="s">
        <v>66</v>
      </c>
      <c r="B200" s="4">
        <v>10</v>
      </c>
      <c r="C200" s="4" t="s">
        <v>40</v>
      </c>
      <c r="D200" s="4">
        <v>3</v>
      </c>
      <c r="E200" s="4">
        <v>3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</row>
    <row r="201" spans="1:12">
      <c r="A201" s="3" t="s">
        <v>66</v>
      </c>
      <c r="B201" s="4">
        <v>11</v>
      </c>
      <c r="C201" s="4" t="s">
        <v>40</v>
      </c>
      <c r="D201" s="4">
        <v>60</v>
      </c>
      <c r="E201" s="4">
        <v>60</v>
      </c>
      <c r="F201" s="4">
        <v>12</v>
      </c>
      <c r="G201" s="4">
        <v>12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</row>
    <row r="202" spans="1:12">
      <c r="A202" s="3" t="s">
        <v>66</v>
      </c>
      <c r="B202" s="4">
        <v>12</v>
      </c>
      <c r="C202" s="4" t="s">
        <v>40</v>
      </c>
      <c r="D202" s="4">
        <v>44</v>
      </c>
      <c r="E202" s="4">
        <v>44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</row>
    <row r="203" spans="1:12">
      <c r="A203" s="3" t="s">
        <v>67</v>
      </c>
      <c r="B203" s="4">
        <v>1</v>
      </c>
      <c r="C203" s="4" t="s">
        <v>31</v>
      </c>
      <c r="D203" s="4">
        <v>96</v>
      </c>
      <c r="E203" s="4">
        <v>96</v>
      </c>
      <c r="F203" s="4">
        <v>107</v>
      </c>
      <c r="G203" s="4">
        <v>107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</row>
    <row r="204" spans="1:12">
      <c r="A204" s="3" t="s">
        <v>67</v>
      </c>
      <c r="B204" s="4">
        <v>2</v>
      </c>
      <c r="C204" s="4" t="s">
        <v>31</v>
      </c>
      <c r="D204" s="4">
        <v>9</v>
      </c>
      <c r="E204" s="4">
        <v>9</v>
      </c>
      <c r="F204" s="4">
        <v>1</v>
      </c>
      <c r="G204" s="4">
        <v>1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</row>
    <row r="205" spans="1:12">
      <c r="A205" s="3" t="s">
        <v>67</v>
      </c>
      <c r="B205" s="4">
        <v>3</v>
      </c>
      <c r="C205" s="4" t="s">
        <v>31</v>
      </c>
      <c r="D205" s="4">
        <v>6</v>
      </c>
      <c r="E205" s="4">
        <v>6</v>
      </c>
      <c r="F205" s="4">
        <v>1</v>
      </c>
      <c r="G205" s="4">
        <v>1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</row>
    <row r="206" spans="1:12">
      <c r="A206" s="3" t="s">
        <v>67</v>
      </c>
      <c r="B206" s="4">
        <v>4</v>
      </c>
      <c r="C206" s="4" t="s">
        <v>31</v>
      </c>
      <c r="D206" s="4">
        <v>5</v>
      </c>
      <c r="E206" s="4">
        <v>5</v>
      </c>
      <c r="F206" s="4">
        <v>1</v>
      </c>
      <c r="G206" s="4">
        <v>1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</row>
    <row r="207" spans="1:12">
      <c r="A207" s="3" t="s">
        <v>67</v>
      </c>
      <c r="B207" s="4">
        <v>5</v>
      </c>
      <c r="C207" s="4" t="s">
        <v>31</v>
      </c>
      <c r="D207" s="4">
        <v>150</v>
      </c>
      <c r="E207" s="4">
        <v>150</v>
      </c>
      <c r="F207" s="4">
        <v>81</v>
      </c>
      <c r="G207" s="4">
        <v>81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</row>
    <row r="208" spans="1:12">
      <c r="A208" s="3" t="s">
        <v>67</v>
      </c>
      <c r="B208" s="4">
        <v>6</v>
      </c>
      <c r="C208" s="4" t="s">
        <v>31</v>
      </c>
      <c r="D208" s="4">
        <v>11</v>
      </c>
      <c r="E208" s="4">
        <v>11</v>
      </c>
      <c r="F208" s="4">
        <v>1</v>
      </c>
      <c r="G208" s="4">
        <v>1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</row>
    <row r="209" spans="1:12">
      <c r="A209" s="3" t="s">
        <v>67</v>
      </c>
      <c r="B209" s="4">
        <v>7</v>
      </c>
      <c r="C209" s="4" t="s">
        <v>31</v>
      </c>
      <c r="D209" s="4">
        <v>8</v>
      </c>
      <c r="E209" s="4">
        <v>8</v>
      </c>
      <c r="F209" s="4">
        <v>2</v>
      </c>
      <c r="G209" s="4">
        <v>2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</row>
    <row r="210" spans="1:12">
      <c r="A210" s="3" t="s">
        <v>67</v>
      </c>
      <c r="B210" s="4">
        <v>8</v>
      </c>
      <c r="C210" s="4" t="s">
        <v>31</v>
      </c>
      <c r="D210" s="4">
        <v>24</v>
      </c>
      <c r="E210" s="4">
        <v>24</v>
      </c>
      <c r="F210" s="4">
        <v>1</v>
      </c>
      <c r="G210" s="4">
        <v>1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</row>
    <row r="211" spans="1:12">
      <c r="A211" s="3" t="s">
        <v>68</v>
      </c>
      <c r="B211" s="4">
        <v>9</v>
      </c>
      <c r="C211" s="4" t="s">
        <v>31</v>
      </c>
      <c r="D211" s="4">
        <v>576</v>
      </c>
      <c r="E211" s="4">
        <v>576</v>
      </c>
      <c r="F211" s="4">
        <v>263</v>
      </c>
      <c r="G211" s="4">
        <v>263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</row>
    <row r="212" spans="1:12">
      <c r="A212" s="3" t="s">
        <v>68</v>
      </c>
      <c r="B212" s="4">
        <v>10</v>
      </c>
      <c r="C212" s="4" t="s">
        <v>31</v>
      </c>
      <c r="D212" s="4">
        <v>8</v>
      </c>
      <c r="E212" s="4">
        <v>8</v>
      </c>
      <c r="F212" s="4">
        <v>7</v>
      </c>
      <c r="G212" s="4">
        <v>7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</row>
    <row r="213" spans="1:12">
      <c r="A213" s="3" t="s">
        <v>68</v>
      </c>
      <c r="B213" s="4">
        <v>11</v>
      </c>
      <c r="C213" s="4" t="s">
        <v>31</v>
      </c>
      <c r="D213" s="4">
        <v>192</v>
      </c>
      <c r="E213" s="4">
        <v>192</v>
      </c>
      <c r="F213" s="4">
        <v>92</v>
      </c>
      <c r="G213" s="4">
        <v>92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</row>
    <row r="214" spans="1:12">
      <c r="A214" s="3" t="s">
        <v>68</v>
      </c>
      <c r="B214" s="4">
        <v>12</v>
      </c>
      <c r="C214" s="4" t="s">
        <v>31</v>
      </c>
      <c r="D214" s="4">
        <v>0</v>
      </c>
      <c r="E214" s="4">
        <v>0</v>
      </c>
      <c r="F214" s="4">
        <v>1</v>
      </c>
      <c r="G214" s="4">
        <v>1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</row>
    <row r="215" spans="1:12">
      <c r="A215" s="3" t="s">
        <v>69</v>
      </c>
      <c r="B215" s="4">
        <v>1</v>
      </c>
      <c r="C215" s="4" t="s">
        <v>31</v>
      </c>
      <c r="D215" s="4">
        <v>12</v>
      </c>
      <c r="E215" s="4">
        <v>12</v>
      </c>
      <c r="F215" s="4">
        <v>9</v>
      </c>
      <c r="G215" s="4">
        <v>9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</row>
    <row r="216" spans="1:12">
      <c r="A216" s="3" t="s">
        <v>69</v>
      </c>
      <c r="B216" s="4">
        <v>2</v>
      </c>
      <c r="C216" s="4" t="s">
        <v>31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</row>
    <row r="217" spans="1:12">
      <c r="A217" s="3" t="s">
        <v>69</v>
      </c>
      <c r="B217" s="4">
        <v>3</v>
      </c>
      <c r="C217" s="4" t="s">
        <v>31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</row>
    <row r="218" spans="1:12">
      <c r="A218" s="3" t="s">
        <v>69</v>
      </c>
      <c r="B218" s="4">
        <v>4</v>
      </c>
      <c r="C218" s="4" t="s">
        <v>31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</row>
    <row r="219" spans="1:12">
      <c r="A219" s="3" t="s">
        <v>69</v>
      </c>
      <c r="B219" s="4">
        <v>5</v>
      </c>
      <c r="C219" s="4" t="s">
        <v>31</v>
      </c>
      <c r="D219" s="4">
        <v>2</v>
      </c>
      <c r="E219" s="4">
        <v>2</v>
      </c>
      <c r="F219" s="4">
        <v>10</v>
      </c>
      <c r="G219" s="4">
        <v>10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</row>
    <row r="220" spans="1:12">
      <c r="A220" s="3" t="s">
        <v>69</v>
      </c>
      <c r="B220" s="4">
        <v>6</v>
      </c>
      <c r="C220" s="4" t="s">
        <v>31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</row>
    <row r="221" spans="1:12">
      <c r="A221" s="3" t="s">
        <v>69</v>
      </c>
      <c r="B221" s="4">
        <v>7</v>
      </c>
      <c r="C221" s="4" t="s">
        <v>31</v>
      </c>
      <c r="D221" s="4">
        <v>0</v>
      </c>
      <c r="E221" s="4">
        <v>0</v>
      </c>
      <c r="F221" s="4">
        <v>1</v>
      </c>
      <c r="G221" s="4">
        <v>1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</row>
    <row r="222" spans="1:12">
      <c r="A222" s="3" t="s">
        <v>69</v>
      </c>
      <c r="B222" s="4">
        <v>8</v>
      </c>
      <c r="C222" s="4" t="s">
        <v>31</v>
      </c>
      <c r="D222" s="4">
        <v>2</v>
      </c>
      <c r="E222" s="4">
        <v>2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</row>
    <row r="223" spans="1:12">
      <c r="A223" s="3" t="s">
        <v>69</v>
      </c>
      <c r="B223" s="4">
        <v>9</v>
      </c>
      <c r="C223" s="4" t="s">
        <v>31</v>
      </c>
      <c r="D223" s="4">
        <v>0</v>
      </c>
      <c r="E223" s="4">
        <v>0</v>
      </c>
      <c r="F223" s="4">
        <v>3</v>
      </c>
      <c r="G223" s="4">
        <v>3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</row>
    <row r="224" spans="1:12">
      <c r="A224" s="3" t="s">
        <v>69</v>
      </c>
      <c r="B224" s="4">
        <v>10</v>
      </c>
      <c r="C224" s="4" t="s">
        <v>31</v>
      </c>
      <c r="D224" s="4">
        <v>2</v>
      </c>
      <c r="E224" s="4">
        <v>2</v>
      </c>
      <c r="F224" s="4">
        <v>8</v>
      </c>
      <c r="G224" s="4">
        <v>8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</row>
    <row r="225" spans="1:12">
      <c r="A225" s="3" t="s">
        <v>70</v>
      </c>
      <c r="B225" s="4">
        <v>2</v>
      </c>
      <c r="C225" s="4" t="s">
        <v>31</v>
      </c>
      <c r="D225" s="4">
        <v>2</v>
      </c>
      <c r="E225" s="4">
        <v>2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</row>
    <row r="226" spans="1:12">
      <c r="A226" s="3" t="s">
        <v>70</v>
      </c>
      <c r="B226" s="4">
        <v>3</v>
      </c>
      <c r="C226" s="4" t="s">
        <v>31</v>
      </c>
      <c r="D226" s="4">
        <v>2</v>
      </c>
      <c r="E226" s="4">
        <v>2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</row>
    <row r="227" spans="1:12">
      <c r="A227" s="3" t="s">
        <v>70</v>
      </c>
      <c r="B227" s="4">
        <v>4</v>
      </c>
      <c r="C227" s="4" t="s">
        <v>31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</row>
    <row r="228" spans="1:12">
      <c r="A228" s="3" t="s">
        <v>71</v>
      </c>
      <c r="B228" s="4">
        <v>1</v>
      </c>
      <c r="C228" s="4" t="s">
        <v>31</v>
      </c>
      <c r="D228" s="4">
        <v>120</v>
      </c>
      <c r="E228" s="4">
        <v>120</v>
      </c>
      <c r="F228" s="4">
        <v>50</v>
      </c>
      <c r="G228" s="4">
        <v>50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</row>
    <row r="229" spans="1:12">
      <c r="A229" s="3" t="s">
        <v>71</v>
      </c>
      <c r="B229" s="4">
        <v>2</v>
      </c>
      <c r="C229" s="4" t="s">
        <v>31</v>
      </c>
      <c r="D229" s="4">
        <v>10</v>
      </c>
      <c r="E229" s="4">
        <v>10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</row>
    <row r="230" spans="1:12">
      <c r="A230" s="3" t="s">
        <v>71</v>
      </c>
      <c r="B230" s="4">
        <v>3</v>
      </c>
      <c r="C230" s="4" t="s">
        <v>31</v>
      </c>
      <c r="D230" s="4">
        <v>1</v>
      </c>
      <c r="E230" s="4">
        <v>1</v>
      </c>
      <c r="F230" s="4">
        <v>2</v>
      </c>
      <c r="G230" s="4">
        <v>2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</row>
    <row r="231" spans="1:12">
      <c r="A231" s="3" t="s">
        <v>71</v>
      </c>
      <c r="B231" s="4">
        <v>4</v>
      </c>
      <c r="C231" s="4" t="s">
        <v>31</v>
      </c>
      <c r="D231" s="4">
        <v>5</v>
      </c>
      <c r="E231" s="4">
        <v>5</v>
      </c>
      <c r="F231" s="4">
        <v>5</v>
      </c>
      <c r="G231" s="4">
        <v>5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</row>
    <row r="232" spans="1:12">
      <c r="A232" s="3" t="s">
        <v>72</v>
      </c>
      <c r="B232" s="4">
        <v>1</v>
      </c>
      <c r="C232" s="4" t="s">
        <v>31</v>
      </c>
      <c r="D232" s="4">
        <v>96</v>
      </c>
      <c r="E232" s="4">
        <v>96</v>
      </c>
      <c r="F232" s="4">
        <v>106</v>
      </c>
      <c r="G232" s="4">
        <v>106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</row>
    <row r="233" spans="1:12">
      <c r="A233" s="3" t="s">
        <v>72</v>
      </c>
      <c r="B233" s="4">
        <v>2</v>
      </c>
      <c r="C233" s="4" t="s">
        <v>31</v>
      </c>
      <c r="D233" s="4">
        <v>13</v>
      </c>
      <c r="E233" s="4">
        <v>13</v>
      </c>
      <c r="F233" s="4">
        <v>2</v>
      </c>
      <c r="G233" s="4">
        <v>2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</row>
    <row r="234" spans="1:12">
      <c r="A234" s="3" t="s">
        <v>72</v>
      </c>
      <c r="B234" s="4">
        <v>3</v>
      </c>
      <c r="C234" s="4" t="s">
        <v>31</v>
      </c>
      <c r="D234" s="4">
        <v>9</v>
      </c>
      <c r="E234" s="4">
        <v>9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</row>
    <row r="235" spans="1:12">
      <c r="A235" s="3" t="s">
        <v>72</v>
      </c>
      <c r="B235" s="4">
        <v>4</v>
      </c>
      <c r="C235" s="4" t="s">
        <v>31</v>
      </c>
      <c r="D235" s="4">
        <v>0</v>
      </c>
      <c r="E235" s="4">
        <v>0</v>
      </c>
      <c r="F235" s="4">
        <v>3</v>
      </c>
      <c r="G235" s="4">
        <v>3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</row>
    <row r="236" spans="1:12">
      <c r="A236" s="3" t="s">
        <v>72</v>
      </c>
      <c r="B236" s="4">
        <v>5</v>
      </c>
      <c r="C236" s="4" t="s">
        <v>31</v>
      </c>
      <c r="D236" s="4">
        <v>60</v>
      </c>
      <c r="E236" s="4">
        <v>60</v>
      </c>
      <c r="F236" s="4">
        <v>84</v>
      </c>
      <c r="G236" s="4">
        <v>84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</row>
    <row r="237" spans="1:12">
      <c r="A237" s="3" t="s">
        <v>72</v>
      </c>
      <c r="B237" s="4">
        <v>6</v>
      </c>
      <c r="C237" s="4" t="s">
        <v>31</v>
      </c>
      <c r="D237" s="4">
        <v>4</v>
      </c>
      <c r="E237" s="4">
        <v>4</v>
      </c>
      <c r="F237" s="4">
        <v>1</v>
      </c>
      <c r="G237" s="4">
        <v>1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</row>
    <row r="238" spans="1:12">
      <c r="A238" s="3" t="s">
        <v>72</v>
      </c>
      <c r="B238" s="4">
        <v>7</v>
      </c>
      <c r="C238" s="4" t="s">
        <v>31</v>
      </c>
      <c r="D238" s="4">
        <v>16</v>
      </c>
      <c r="E238" s="4">
        <v>16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</row>
    <row r="239" spans="1:12">
      <c r="A239" s="3" t="s">
        <v>72</v>
      </c>
      <c r="B239" s="4">
        <v>8</v>
      </c>
      <c r="C239" s="4" t="s">
        <v>31</v>
      </c>
      <c r="D239" s="4">
        <v>0</v>
      </c>
      <c r="E239" s="4">
        <v>0</v>
      </c>
      <c r="F239" s="4">
        <v>1</v>
      </c>
      <c r="G239" s="4">
        <v>1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</row>
    <row r="240" spans="1:12">
      <c r="A240" s="3" t="s">
        <v>72</v>
      </c>
      <c r="B240" s="4">
        <v>9</v>
      </c>
      <c r="C240" s="4" t="s">
        <v>31</v>
      </c>
      <c r="D240" s="4">
        <v>150</v>
      </c>
      <c r="E240" s="4">
        <v>150</v>
      </c>
      <c r="F240" s="4">
        <v>196</v>
      </c>
      <c r="G240" s="4">
        <v>196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</row>
    <row r="241" spans="1:12">
      <c r="A241" s="3" t="s">
        <v>72</v>
      </c>
      <c r="B241" s="4">
        <v>10</v>
      </c>
      <c r="C241" s="4" t="s">
        <v>31</v>
      </c>
      <c r="D241" s="4">
        <v>6</v>
      </c>
      <c r="E241" s="4">
        <v>6</v>
      </c>
      <c r="F241" s="4">
        <v>10</v>
      </c>
      <c r="G241" s="4">
        <v>10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</row>
    <row r="242" spans="1:12">
      <c r="A242" s="3" t="s">
        <v>72</v>
      </c>
      <c r="B242" s="4">
        <v>11</v>
      </c>
      <c r="C242" s="4" t="s">
        <v>31</v>
      </c>
      <c r="D242" s="4">
        <v>120</v>
      </c>
      <c r="E242" s="4">
        <v>120</v>
      </c>
      <c r="F242" s="4">
        <v>88</v>
      </c>
      <c r="G242" s="4">
        <v>88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</row>
    <row r="243" spans="1:12">
      <c r="A243" s="3" t="s">
        <v>72</v>
      </c>
      <c r="B243" s="4">
        <v>12</v>
      </c>
      <c r="C243" s="4" t="s">
        <v>31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</row>
    <row r="244" spans="1:12">
      <c r="A244" s="3" t="s">
        <v>73</v>
      </c>
      <c r="B244" s="4">
        <v>1</v>
      </c>
      <c r="C244" s="4" t="s">
        <v>31</v>
      </c>
      <c r="D244" s="4">
        <v>24</v>
      </c>
      <c r="E244" s="4">
        <v>24</v>
      </c>
      <c r="F244" s="4">
        <v>2</v>
      </c>
      <c r="G244" s="4">
        <v>2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</row>
    <row r="245" spans="1:12">
      <c r="A245" s="3" t="s">
        <v>73</v>
      </c>
      <c r="B245" s="4">
        <v>1</v>
      </c>
      <c r="C245" s="4" t="s">
        <v>40</v>
      </c>
      <c r="D245" s="4">
        <v>24</v>
      </c>
      <c r="E245" s="4">
        <v>24</v>
      </c>
      <c r="F245" s="4">
        <v>2</v>
      </c>
      <c r="G245" s="4">
        <v>2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</row>
    <row r="246" spans="1:12">
      <c r="A246" s="3" t="s">
        <v>73</v>
      </c>
      <c r="B246" s="4">
        <v>1</v>
      </c>
      <c r="C246" s="4" t="s">
        <v>52</v>
      </c>
      <c r="D246" s="4">
        <v>48</v>
      </c>
      <c r="E246" s="4">
        <v>48</v>
      </c>
      <c r="F246" s="4">
        <v>4</v>
      </c>
      <c r="G246" s="4">
        <v>4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</row>
    <row r="247" spans="1:12">
      <c r="A247" s="3" t="s">
        <v>73</v>
      </c>
      <c r="B247" s="4">
        <v>2</v>
      </c>
      <c r="C247" s="4" t="s">
        <v>40</v>
      </c>
      <c r="D247" s="4">
        <v>34</v>
      </c>
      <c r="E247" s="4">
        <v>34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</row>
    <row r="248" spans="1:12">
      <c r="A248" s="3" t="s">
        <v>73</v>
      </c>
      <c r="B248" s="4">
        <v>2</v>
      </c>
      <c r="C248" s="4" t="s">
        <v>52</v>
      </c>
      <c r="D248" s="4">
        <v>24</v>
      </c>
      <c r="E248" s="4">
        <v>24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</row>
    <row r="249" spans="1:12">
      <c r="A249" s="3" t="s">
        <v>73</v>
      </c>
      <c r="B249" s="4">
        <v>3</v>
      </c>
      <c r="C249" s="4" t="s">
        <v>52</v>
      </c>
      <c r="D249" s="4">
        <v>24</v>
      </c>
      <c r="E249" s="4">
        <v>24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</row>
    <row r="250" spans="1:12">
      <c r="A250" s="3" t="s">
        <v>73</v>
      </c>
      <c r="B250" s="4">
        <v>4</v>
      </c>
      <c r="C250" s="4" t="s">
        <v>40</v>
      </c>
      <c r="D250" s="4">
        <v>12</v>
      </c>
      <c r="E250" s="4">
        <v>12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</row>
    <row r="251" spans="1:12">
      <c r="A251" s="3" t="s">
        <v>73</v>
      </c>
      <c r="B251" s="4">
        <v>4</v>
      </c>
      <c r="C251" s="4" t="s">
        <v>52</v>
      </c>
      <c r="D251" s="4">
        <v>8</v>
      </c>
      <c r="E251" s="4">
        <v>8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</row>
    <row r="252" spans="1:12">
      <c r="A252" s="3" t="s">
        <v>73</v>
      </c>
      <c r="B252" s="4">
        <v>5</v>
      </c>
      <c r="C252" s="4" t="s">
        <v>40</v>
      </c>
      <c r="D252" s="4">
        <v>30</v>
      </c>
      <c r="E252" s="4">
        <v>30</v>
      </c>
      <c r="F252" s="4">
        <v>1</v>
      </c>
      <c r="G252" s="4">
        <v>1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</row>
    <row r="253" spans="1:12">
      <c r="A253" s="3" t="s">
        <v>73</v>
      </c>
      <c r="B253" s="4">
        <v>5</v>
      </c>
      <c r="C253" s="4" t="s">
        <v>52</v>
      </c>
      <c r="D253" s="4">
        <v>60</v>
      </c>
      <c r="E253" s="4">
        <v>60</v>
      </c>
      <c r="F253" s="4">
        <v>2</v>
      </c>
      <c r="G253" s="4">
        <v>2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</row>
    <row r="254" spans="1:12">
      <c r="A254" s="3" t="s">
        <v>73</v>
      </c>
      <c r="B254" s="4">
        <v>6</v>
      </c>
      <c r="C254" s="4" t="s">
        <v>52</v>
      </c>
      <c r="D254" s="4">
        <v>20</v>
      </c>
      <c r="E254" s="4">
        <v>20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</row>
    <row r="255" spans="1:12">
      <c r="A255" s="3" t="s">
        <v>73</v>
      </c>
      <c r="B255" s="4">
        <v>7</v>
      </c>
      <c r="C255" s="4" t="s">
        <v>40</v>
      </c>
      <c r="D255" s="4">
        <v>20</v>
      </c>
      <c r="E255" s="4">
        <v>20</v>
      </c>
      <c r="F255" s="4">
        <v>1</v>
      </c>
      <c r="G255" s="4">
        <v>1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</row>
    <row r="256" spans="1:12">
      <c r="A256" s="3" t="s">
        <v>73</v>
      </c>
      <c r="B256" s="4">
        <v>7</v>
      </c>
      <c r="C256" s="4" t="s">
        <v>52</v>
      </c>
      <c r="D256" s="4">
        <v>11</v>
      </c>
      <c r="E256" s="4">
        <v>11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</row>
    <row r="257" spans="1:12">
      <c r="A257" s="3" t="s">
        <v>73</v>
      </c>
      <c r="B257" s="4">
        <v>8</v>
      </c>
      <c r="C257" s="4" t="s">
        <v>40</v>
      </c>
      <c r="D257" s="4">
        <v>15</v>
      </c>
      <c r="E257" s="4">
        <v>15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</row>
    <row r="258" spans="1:12">
      <c r="A258" s="3" t="s">
        <v>73</v>
      </c>
      <c r="B258" s="4">
        <v>8</v>
      </c>
      <c r="C258" s="4" t="s">
        <v>52</v>
      </c>
      <c r="D258" s="4">
        <v>20</v>
      </c>
      <c r="E258" s="4">
        <v>20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</row>
    <row r="259" spans="1:12">
      <c r="A259" s="3" t="s">
        <v>73</v>
      </c>
      <c r="B259" s="4">
        <v>9</v>
      </c>
      <c r="C259" s="4" t="s">
        <v>52</v>
      </c>
      <c r="D259" s="4">
        <v>60</v>
      </c>
      <c r="E259" s="4">
        <v>60</v>
      </c>
      <c r="F259" s="4">
        <v>2</v>
      </c>
      <c r="G259" s="4">
        <v>2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</row>
    <row r="260" spans="1:12">
      <c r="A260" s="3" t="s">
        <v>73</v>
      </c>
      <c r="B260" s="4">
        <v>10</v>
      </c>
      <c r="C260" s="4" t="s">
        <v>40</v>
      </c>
      <c r="D260" s="4">
        <v>20</v>
      </c>
      <c r="E260" s="4">
        <v>20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</row>
    <row r="261" spans="1:12">
      <c r="A261" s="3" t="s">
        <v>73</v>
      </c>
      <c r="B261" s="4">
        <v>10</v>
      </c>
      <c r="C261" s="4" t="s">
        <v>52</v>
      </c>
      <c r="D261" s="4">
        <v>19</v>
      </c>
      <c r="E261" s="4">
        <v>19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</row>
    <row r="262" spans="1:12">
      <c r="A262" s="3" t="s">
        <v>73</v>
      </c>
      <c r="B262" s="4">
        <v>11</v>
      </c>
      <c r="C262" s="4" t="s">
        <v>40</v>
      </c>
      <c r="D262" s="4">
        <v>30</v>
      </c>
      <c r="E262" s="4">
        <v>30</v>
      </c>
      <c r="F262" s="4">
        <v>4</v>
      </c>
      <c r="G262" s="4">
        <v>4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</row>
    <row r="263" spans="1:12">
      <c r="A263" s="3" t="s">
        <v>73</v>
      </c>
      <c r="B263" s="4">
        <v>11</v>
      </c>
      <c r="C263" s="4" t="s">
        <v>52</v>
      </c>
      <c r="D263" s="4">
        <v>60</v>
      </c>
      <c r="E263" s="4">
        <v>60</v>
      </c>
      <c r="F263" s="4">
        <v>7</v>
      </c>
      <c r="G263" s="4">
        <v>7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</row>
    <row r="264" spans="1:12">
      <c r="A264" s="3" t="s">
        <v>73</v>
      </c>
      <c r="B264" s="4">
        <v>12</v>
      </c>
      <c r="C264" s="4" t="s">
        <v>40</v>
      </c>
      <c r="D264" s="4">
        <v>2</v>
      </c>
      <c r="E264" s="4">
        <v>2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</row>
    <row r="265" spans="1:12">
      <c r="A265" s="3" t="s">
        <v>73</v>
      </c>
      <c r="B265" s="4">
        <v>12</v>
      </c>
      <c r="C265" s="4" t="s">
        <v>52</v>
      </c>
      <c r="D265" s="4">
        <v>2</v>
      </c>
      <c r="E265" s="4">
        <v>2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</row>
    <row r="266" spans="1:12">
      <c r="A266" s="3" t="s">
        <v>74</v>
      </c>
      <c r="B266" s="4">
        <v>1</v>
      </c>
      <c r="C266" s="4" t="s">
        <v>31</v>
      </c>
      <c r="D266" s="4">
        <v>122</v>
      </c>
      <c r="E266" s="4">
        <v>122</v>
      </c>
      <c r="F266" s="4">
        <v>75</v>
      </c>
      <c r="G266" s="4">
        <v>75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</row>
    <row r="267" spans="1:12">
      <c r="A267" s="3" t="s">
        <v>74</v>
      </c>
      <c r="B267" s="4">
        <v>2</v>
      </c>
      <c r="C267" s="4" t="s">
        <v>31</v>
      </c>
      <c r="D267" s="4">
        <v>4</v>
      </c>
      <c r="E267" s="4">
        <v>4</v>
      </c>
      <c r="F267" s="4">
        <v>1</v>
      </c>
      <c r="G267" s="4">
        <v>1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</row>
    <row r="268" spans="1:12">
      <c r="A268" s="3" t="s">
        <v>74</v>
      </c>
      <c r="B268" s="4">
        <v>3</v>
      </c>
      <c r="C268" s="4" t="s">
        <v>31</v>
      </c>
      <c r="D268" s="4">
        <v>5</v>
      </c>
      <c r="E268" s="4">
        <v>5</v>
      </c>
      <c r="F268" s="4">
        <v>1</v>
      </c>
      <c r="G268" s="4">
        <v>1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</row>
    <row r="269" spans="1:12">
      <c r="A269" s="3" t="s">
        <v>74</v>
      </c>
      <c r="B269" s="4">
        <v>4</v>
      </c>
      <c r="C269" s="4" t="s">
        <v>31</v>
      </c>
      <c r="D269" s="4">
        <v>7</v>
      </c>
      <c r="E269" s="4">
        <v>7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</row>
    <row r="270" spans="1:12">
      <c r="A270" s="3" t="s">
        <v>74</v>
      </c>
      <c r="B270" s="4">
        <v>5</v>
      </c>
      <c r="C270" s="4" t="s">
        <v>31</v>
      </c>
      <c r="D270" s="4">
        <v>120</v>
      </c>
      <c r="E270" s="4">
        <v>120</v>
      </c>
      <c r="F270" s="4">
        <v>71</v>
      </c>
      <c r="G270" s="4">
        <v>71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</row>
    <row r="271" spans="1:12">
      <c r="A271" s="3" t="s">
        <v>74</v>
      </c>
      <c r="B271" s="4">
        <v>6</v>
      </c>
      <c r="C271" s="4" t="s">
        <v>31</v>
      </c>
      <c r="D271" s="4">
        <v>17</v>
      </c>
      <c r="E271" s="4">
        <v>17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</row>
    <row r="272" spans="1:12">
      <c r="A272" s="3" t="s">
        <v>74</v>
      </c>
      <c r="B272" s="4">
        <v>7</v>
      </c>
      <c r="C272" s="4" t="s">
        <v>31</v>
      </c>
      <c r="D272" s="4">
        <v>18</v>
      </c>
      <c r="E272" s="4">
        <v>18</v>
      </c>
      <c r="F272" s="4">
        <v>2</v>
      </c>
      <c r="G272" s="4">
        <v>2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</row>
    <row r="273" spans="1:12">
      <c r="A273" s="3" t="s">
        <v>74</v>
      </c>
      <c r="B273" s="4">
        <v>8</v>
      </c>
      <c r="C273" s="4" t="s">
        <v>31</v>
      </c>
      <c r="D273" s="4">
        <v>4</v>
      </c>
      <c r="E273" s="4">
        <v>4</v>
      </c>
      <c r="F273" s="4">
        <v>2</v>
      </c>
      <c r="G273" s="4">
        <v>2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</row>
    <row r="274" spans="1:12">
      <c r="A274" s="3" t="s">
        <v>74</v>
      </c>
      <c r="B274" s="4">
        <v>9</v>
      </c>
      <c r="C274" s="4" t="s">
        <v>31</v>
      </c>
      <c r="D274" s="4">
        <v>90</v>
      </c>
      <c r="E274" s="4">
        <v>90</v>
      </c>
      <c r="F274" s="4">
        <v>30</v>
      </c>
      <c r="G274" s="4">
        <v>30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</row>
    <row r="275" spans="1:12">
      <c r="A275" s="3" t="s">
        <v>74</v>
      </c>
      <c r="B275" s="4">
        <v>10</v>
      </c>
      <c r="C275" s="4" t="s">
        <v>31</v>
      </c>
      <c r="D275" s="4">
        <v>0</v>
      </c>
      <c r="E275" s="4">
        <v>0</v>
      </c>
      <c r="F275" s="4">
        <v>4</v>
      </c>
      <c r="G275" s="4">
        <v>4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</row>
    <row r="276" spans="1:12">
      <c r="A276" s="3" t="s">
        <v>74</v>
      </c>
      <c r="B276" s="4">
        <v>11</v>
      </c>
      <c r="C276" s="4" t="s">
        <v>31</v>
      </c>
      <c r="D276" s="4">
        <v>120</v>
      </c>
      <c r="E276" s="4">
        <v>120</v>
      </c>
      <c r="F276" s="4">
        <v>1</v>
      </c>
      <c r="G276" s="4">
        <v>1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</row>
    <row r="277" spans="1:12">
      <c r="A277" s="3" t="s">
        <v>74</v>
      </c>
      <c r="B277" s="4">
        <v>12</v>
      </c>
      <c r="C277" s="4" t="s">
        <v>31</v>
      </c>
      <c r="D277" s="4">
        <v>7</v>
      </c>
      <c r="E277" s="4">
        <v>7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</row>
    <row r="278" spans="1:12">
      <c r="A278" s="3" t="s">
        <v>75</v>
      </c>
      <c r="B278" s="4">
        <v>1</v>
      </c>
      <c r="C278" s="4" t="s">
        <v>31</v>
      </c>
      <c r="D278" s="4">
        <v>8</v>
      </c>
      <c r="E278" s="4">
        <v>8</v>
      </c>
      <c r="F278" s="4">
        <v>6</v>
      </c>
      <c r="G278" s="4">
        <v>6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</row>
    <row r="279" spans="1:12">
      <c r="A279" s="3" t="s">
        <v>75</v>
      </c>
      <c r="B279" s="4">
        <v>2</v>
      </c>
      <c r="C279" s="4" t="s">
        <v>31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</row>
    <row r="280" spans="1:12">
      <c r="A280" s="3" t="s">
        <v>75</v>
      </c>
      <c r="B280" s="4">
        <v>3</v>
      </c>
      <c r="C280" s="4" t="s">
        <v>31</v>
      </c>
      <c r="D280" s="4">
        <v>0</v>
      </c>
      <c r="E280" s="4">
        <v>0</v>
      </c>
      <c r="F280" s="4">
        <v>1</v>
      </c>
      <c r="G280" s="4">
        <v>1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</row>
    <row r="281" spans="1:12">
      <c r="A281" s="3" t="s">
        <v>75</v>
      </c>
      <c r="B281" s="4">
        <v>4</v>
      </c>
      <c r="C281" s="4" t="s">
        <v>31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</row>
    <row r="282" spans="1:12">
      <c r="A282" s="3" t="s">
        <v>75</v>
      </c>
      <c r="B282" s="4">
        <v>5</v>
      </c>
      <c r="C282" s="4" t="s">
        <v>31</v>
      </c>
      <c r="D282" s="4">
        <v>6</v>
      </c>
      <c r="E282" s="4">
        <v>6</v>
      </c>
      <c r="F282" s="4">
        <v>1</v>
      </c>
      <c r="G282" s="4">
        <v>1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</row>
    <row r="283" spans="1:12">
      <c r="A283" s="3" t="s">
        <v>75</v>
      </c>
      <c r="B283" s="4">
        <v>6</v>
      </c>
      <c r="C283" s="4" t="s">
        <v>31</v>
      </c>
      <c r="D283" s="4">
        <v>1</v>
      </c>
      <c r="E283" s="4">
        <v>1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</row>
    <row r="284" spans="1:12">
      <c r="A284" s="3" t="s">
        <v>75</v>
      </c>
      <c r="B284" s="4">
        <v>7</v>
      </c>
      <c r="C284" s="4" t="s">
        <v>31</v>
      </c>
      <c r="D284" s="4">
        <v>1</v>
      </c>
      <c r="E284" s="4">
        <v>1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</row>
    <row r="285" spans="1:12">
      <c r="A285" s="3" t="s">
        <v>75</v>
      </c>
      <c r="B285" s="4">
        <v>8</v>
      </c>
      <c r="C285" s="4" t="s">
        <v>31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</row>
    <row r="286" spans="1:12">
      <c r="A286" s="3" t="s">
        <v>76</v>
      </c>
      <c r="B286" s="4">
        <v>1</v>
      </c>
      <c r="C286" s="4" t="s">
        <v>31</v>
      </c>
      <c r="D286" s="4">
        <v>104</v>
      </c>
      <c r="E286" s="4">
        <v>104</v>
      </c>
      <c r="F286" s="4">
        <v>88</v>
      </c>
      <c r="G286" s="4">
        <v>88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</row>
    <row r="287" spans="1:12">
      <c r="A287" s="3" t="s">
        <v>76</v>
      </c>
      <c r="B287" s="4">
        <v>2</v>
      </c>
      <c r="C287" s="4" t="s">
        <v>31</v>
      </c>
      <c r="D287" s="4">
        <v>20</v>
      </c>
      <c r="E287" s="4">
        <v>20</v>
      </c>
      <c r="F287" s="4">
        <v>1</v>
      </c>
      <c r="G287" s="4">
        <v>1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</row>
    <row r="288" spans="1:12">
      <c r="A288" s="3" t="s">
        <v>76</v>
      </c>
      <c r="B288" s="4">
        <v>3</v>
      </c>
      <c r="C288" s="4" t="s">
        <v>31</v>
      </c>
      <c r="D288" s="4">
        <v>1</v>
      </c>
      <c r="E288" s="4">
        <v>1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</row>
    <row r="289" spans="1:12">
      <c r="A289" s="3" t="s">
        <v>76</v>
      </c>
      <c r="B289" s="4">
        <v>4</v>
      </c>
      <c r="C289" s="4" t="s">
        <v>31</v>
      </c>
      <c r="D289" s="4">
        <v>3</v>
      </c>
      <c r="E289" s="4">
        <v>3</v>
      </c>
      <c r="F289" s="4">
        <v>1</v>
      </c>
      <c r="G289" s="4">
        <v>1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</row>
    <row r="290" spans="1:12">
      <c r="A290" s="3" t="s">
        <v>76</v>
      </c>
      <c r="B290" s="4">
        <v>5</v>
      </c>
      <c r="C290" s="4" t="s">
        <v>31</v>
      </c>
      <c r="D290" s="4">
        <v>120</v>
      </c>
      <c r="E290" s="4">
        <v>120</v>
      </c>
      <c r="F290" s="4">
        <v>45</v>
      </c>
      <c r="G290" s="4">
        <v>45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</row>
    <row r="291" spans="1:12">
      <c r="A291" s="3" t="s">
        <v>76</v>
      </c>
      <c r="B291" s="4">
        <v>6</v>
      </c>
      <c r="C291" s="4" t="s">
        <v>31</v>
      </c>
      <c r="D291" s="4">
        <v>7</v>
      </c>
      <c r="E291" s="4">
        <v>7</v>
      </c>
      <c r="F291" s="4">
        <v>2</v>
      </c>
      <c r="G291" s="4">
        <v>2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</row>
    <row r="292" spans="1:12">
      <c r="A292" s="3" t="s">
        <v>76</v>
      </c>
      <c r="B292" s="4">
        <v>7</v>
      </c>
      <c r="C292" s="4" t="s">
        <v>31</v>
      </c>
      <c r="D292" s="4">
        <v>2</v>
      </c>
      <c r="E292" s="4">
        <v>2</v>
      </c>
      <c r="F292" s="4">
        <v>1</v>
      </c>
      <c r="G292" s="4">
        <v>1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</row>
    <row r="293" spans="1:12">
      <c r="A293" s="3" t="s">
        <v>76</v>
      </c>
      <c r="B293" s="4">
        <v>8</v>
      </c>
      <c r="C293" s="4" t="s">
        <v>31</v>
      </c>
      <c r="D293" s="4">
        <v>10</v>
      </c>
      <c r="E293" s="4">
        <v>10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</row>
    <row r="294" spans="1:12">
      <c r="A294" s="3" t="s">
        <v>77</v>
      </c>
      <c r="B294" s="4">
        <v>1</v>
      </c>
      <c r="C294" s="4" t="s">
        <v>52</v>
      </c>
      <c r="D294" s="4">
        <v>56</v>
      </c>
      <c r="E294" s="4">
        <v>56</v>
      </c>
      <c r="F294" s="4">
        <v>27</v>
      </c>
      <c r="G294" s="4">
        <v>27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</row>
    <row r="295" spans="1:12">
      <c r="A295" s="3" t="s">
        <v>77</v>
      </c>
      <c r="B295" s="4">
        <v>2</v>
      </c>
      <c r="C295" s="4" t="s">
        <v>52</v>
      </c>
      <c r="D295" s="4">
        <v>14</v>
      </c>
      <c r="E295" s="4">
        <v>14</v>
      </c>
      <c r="F295" s="4">
        <v>1</v>
      </c>
      <c r="G295" s="4">
        <v>1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</row>
    <row r="296" spans="1:12">
      <c r="A296" s="3" t="s">
        <v>77</v>
      </c>
      <c r="B296" s="4">
        <v>3</v>
      </c>
      <c r="C296" s="4" t="s">
        <v>52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</row>
    <row r="297" spans="1:12">
      <c r="A297" s="3" t="s">
        <v>77</v>
      </c>
      <c r="B297" s="4">
        <v>4</v>
      </c>
      <c r="C297" s="4" t="s">
        <v>52</v>
      </c>
      <c r="D297" s="4">
        <v>4</v>
      </c>
      <c r="E297" s="4">
        <v>4</v>
      </c>
      <c r="F297" s="4">
        <v>1</v>
      </c>
      <c r="G297" s="4">
        <v>1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</row>
    <row r="298" spans="1:12">
      <c r="A298" s="3" t="s">
        <v>77</v>
      </c>
      <c r="B298" s="4">
        <v>5</v>
      </c>
      <c r="C298" s="4" t="s">
        <v>52</v>
      </c>
      <c r="D298" s="4">
        <v>90</v>
      </c>
      <c r="E298" s="4">
        <v>90</v>
      </c>
      <c r="F298" s="4">
        <v>41</v>
      </c>
      <c r="G298" s="4">
        <v>41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</row>
    <row r="299" spans="1:12">
      <c r="A299" s="3" t="s">
        <v>77</v>
      </c>
      <c r="B299" s="4">
        <v>6</v>
      </c>
      <c r="C299" s="4" t="s">
        <v>52</v>
      </c>
      <c r="D299" s="4">
        <v>15</v>
      </c>
      <c r="E299" s="4">
        <v>15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</row>
    <row r="300" spans="1:12">
      <c r="A300" s="3" t="s">
        <v>77</v>
      </c>
      <c r="B300" s="4">
        <v>7</v>
      </c>
      <c r="C300" s="4" t="s">
        <v>52</v>
      </c>
      <c r="D300" s="4">
        <v>22</v>
      </c>
      <c r="E300" s="4">
        <v>22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</row>
    <row r="301" spans="1:12">
      <c r="A301" s="3" t="s">
        <v>77</v>
      </c>
      <c r="B301" s="4">
        <v>8</v>
      </c>
      <c r="C301" s="4" t="s">
        <v>52</v>
      </c>
      <c r="D301" s="4">
        <v>33</v>
      </c>
      <c r="E301" s="4">
        <v>33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</row>
    <row r="302" spans="1:12">
      <c r="A302" s="3" t="s">
        <v>77</v>
      </c>
      <c r="B302" s="4">
        <v>9</v>
      </c>
      <c r="C302" s="4" t="s">
        <v>52</v>
      </c>
      <c r="D302" s="4">
        <v>60</v>
      </c>
      <c r="E302" s="4">
        <v>60</v>
      </c>
      <c r="F302" s="4">
        <v>29</v>
      </c>
      <c r="G302" s="4">
        <v>29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</row>
    <row r="303" spans="1:12">
      <c r="A303" s="3" t="s">
        <v>77</v>
      </c>
      <c r="B303" s="4">
        <v>10</v>
      </c>
      <c r="C303" s="4" t="s">
        <v>52</v>
      </c>
      <c r="D303" s="4">
        <v>23</v>
      </c>
      <c r="E303" s="4">
        <v>23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</row>
    <row r="304" spans="1:12">
      <c r="A304" s="3" t="s">
        <v>78</v>
      </c>
      <c r="B304" s="4">
        <v>1</v>
      </c>
      <c r="C304" s="4" t="s">
        <v>31</v>
      </c>
      <c r="D304" s="4">
        <v>72</v>
      </c>
      <c r="E304" s="4">
        <v>72</v>
      </c>
      <c r="F304" s="4">
        <v>33</v>
      </c>
      <c r="G304" s="4">
        <v>33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</row>
    <row r="305" spans="1:12">
      <c r="A305" s="3" t="s">
        <v>78</v>
      </c>
      <c r="B305" s="4">
        <v>2</v>
      </c>
      <c r="C305" s="4" t="s">
        <v>31</v>
      </c>
      <c r="D305" s="4">
        <v>18</v>
      </c>
      <c r="E305" s="4">
        <v>18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</row>
    <row r="306" spans="1:12">
      <c r="A306" s="3" t="s">
        <v>78</v>
      </c>
      <c r="B306" s="4">
        <v>3</v>
      </c>
      <c r="C306" s="4" t="s">
        <v>31</v>
      </c>
      <c r="D306" s="4">
        <v>2</v>
      </c>
      <c r="E306" s="4">
        <v>2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</row>
    <row r="307" spans="1:12">
      <c r="A307" s="3" t="s">
        <v>78</v>
      </c>
      <c r="B307" s="4">
        <v>4</v>
      </c>
      <c r="C307" s="4" t="s">
        <v>31</v>
      </c>
      <c r="D307" s="4">
        <v>4</v>
      </c>
      <c r="E307" s="4">
        <v>4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</row>
    <row r="308" spans="1:12">
      <c r="A308" s="3" t="s">
        <v>78</v>
      </c>
      <c r="B308" s="4">
        <v>5</v>
      </c>
      <c r="C308" s="4" t="s">
        <v>31</v>
      </c>
      <c r="D308" s="4">
        <v>60</v>
      </c>
      <c r="E308" s="4">
        <v>60</v>
      </c>
      <c r="F308" s="4">
        <v>30</v>
      </c>
      <c r="G308" s="4">
        <v>30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</row>
    <row r="309" spans="1:12">
      <c r="A309" s="3" t="s">
        <v>78</v>
      </c>
      <c r="B309" s="4">
        <v>6</v>
      </c>
      <c r="C309" s="4" t="s">
        <v>31</v>
      </c>
      <c r="D309" s="4">
        <v>20</v>
      </c>
      <c r="E309" s="4">
        <v>20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</row>
    <row r="310" spans="1:12">
      <c r="A310" s="3" t="s">
        <v>78</v>
      </c>
      <c r="B310" s="4">
        <v>7</v>
      </c>
      <c r="C310" s="4" t="s">
        <v>31</v>
      </c>
      <c r="D310" s="4">
        <v>23</v>
      </c>
      <c r="E310" s="4">
        <v>23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</row>
    <row r="311" spans="1:12">
      <c r="A311" s="3" t="s">
        <v>78</v>
      </c>
      <c r="B311" s="4">
        <v>8</v>
      </c>
      <c r="C311" s="4" t="s">
        <v>31</v>
      </c>
      <c r="D311" s="4">
        <v>15</v>
      </c>
      <c r="E311" s="4">
        <v>15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</row>
    <row r="312" spans="1:12">
      <c r="A312" s="3" t="s">
        <v>78</v>
      </c>
      <c r="B312" s="4">
        <v>9</v>
      </c>
      <c r="C312" s="4" t="s">
        <v>31</v>
      </c>
      <c r="D312" s="4">
        <v>60</v>
      </c>
      <c r="E312" s="4">
        <v>60</v>
      </c>
      <c r="F312" s="4">
        <v>17</v>
      </c>
      <c r="G312" s="4">
        <v>17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</row>
    <row r="313" spans="1:12">
      <c r="A313" s="3" t="s">
        <v>78</v>
      </c>
      <c r="B313" s="4">
        <v>10</v>
      </c>
      <c r="C313" s="4" t="s">
        <v>31</v>
      </c>
      <c r="D313" s="4">
        <v>12</v>
      </c>
      <c r="E313" s="4">
        <v>12</v>
      </c>
      <c r="F313" s="4">
        <v>2</v>
      </c>
      <c r="G313" s="4">
        <v>2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</row>
    <row r="314" spans="1:12">
      <c r="A314" s="3" t="s">
        <v>78</v>
      </c>
      <c r="B314" s="4">
        <v>11</v>
      </c>
      <c r="C314" s="4" t="s">
        <v>31</v>
      </c>
      <c r="D314" s="4">
        <v>60</v>
      </c>
      <c r="E314" s="4">
        <v>60</v>
      </c>
      <c r="F314" s="4">
        <v>1</v>
      </c>
      <c r="G314" s="4">
        <v>1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</row>
    <row r="315" spans="1:12">
      <c r="A315" s="3" t="s">
        <v>78</v>
      </c>
      <c r="B315" s="4">
        <v>12</v>
      </c>
      <c r="C315" s="4" t="s">
        <v>31</v>
      </c>
      <c r="D315" s="4">
        <v>18</v>
      </c>
      <c r="E315" s="4">
        <v>18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</row>
    <row r="316" spans="1:12">
      <c r="A316" s="3" t="s">
        <v>79</v>
      </c>
      <c r="B316" s="4">
        <v>1</v>
      </c>
      <c r="C316" s="4" t="s">
        <v>31</v>
      </c>
      <c r="D316" s="4">
        <v>96</v>
      </c>
      <c r="E316" s="4">
        <v>96</v>
      </c>
      <c r="F316" s="4">
        <v>106</v>
      </c>
      <c r="G316" s="4">
        <v>106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</row>
    <row r="317" spans="1:12">
      <c r="A317" s="3" t="s">
        <v>79</v>
      </c>
      <c r="B317" s="4">
        <v>2</v>
      </c>
      <c r="C317" s="4" t="s">
        <v>31</v>
      </c>
      <c r="D317" s="4">
        <v>7</v>
      </c>
      <c r="E317" s="4">
        <v>7</v>
      </c>
      <c r="F317" s="4">
        <v>2</v>
      </c>
      <c r="G317" s="4">
        <v>2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</row>
    <row r="318" spans="1:12">
      <c r="A318" s="3" t="s">
        <v>79</v>
      </c>
      <c r="B318" s="4">
        <v>3</v>
      </c>
      <c r="C318" s="4" t="s">
        <v>31</v>
      </c>
      <c r="D318" s="4">
        <v>6</v>
      </c>
      <c r="E318" s="4">
        <v>6</v>
      </c>
      <c r="F318" s="4">
        <v>2</v>
      </c>
      <c r="G318" s="4">
        <v>2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</row>
    <row r="319" spans="1:12">
      <c r="A319" s="3" t="s">
        <v>79</v>
      </c>
      <c r="B319" s="4">
        <v>4</v>
      </c>
      <c r="C319" s="4" t="s">
        <v>31</v>
      </c>
      <c r="D319" s="4">
        <v>0</v>
      </c>
      <c r="E319" s="4">
        <v>0</v>
      </c>
      <c r="F319" s="4">
        <v>1</v>
      </c>
      <c r="G319" s="4">
        <v>1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</row>
    <row r="320" spans="1:12">
      <c r="A320" s="3" t="s">
        <v>79</v>
      </c>
      <c r="B320" s="4">
        <v>5</v>
      </c>
      <c r="C320" s="4" t="s">
        <v>31</v>
      </c>
      <c r="D320" s="4">
        <v>120</v>
      </c>
      <c r="E320" s="4">
        <v>120</v>
      </c>
      <c r="F320" s="4">
        <v>70</v>
      </c>
      <c r="G320" s="4">
        <v>70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</row>
    <row r="321" spans="1:12">
      <c r="A321" s="3" t="s">
        <v>79</v>
      </c>
      <c r="B321" s="4">
        <v>6</v>
      </c>
      <c r="C321" s="4" t="s">
        <v>31</v>
      </c>
      <c r="D321" s="4">
        <v>16</v>
      </c>
      <c r="E321" s="4">
        <v>16</v>
      </c>
      <c r="F321" s="4">
        <v>1</v>
      </c>
      <c r="G321" s="4">
        <v>1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</row>
    <row r="322" spans="1:12">
      <c r="A322" s="3" t="s">
        <v>79</v>
      </c>
      <c r="B322" s="4">
        <v>7</v>
      </c>
      <c r="C322" s="4" t="s">
        <v>31</v>
      </c>
      <c r="D322" s="4">
        <v>6</v>
      </c>
      <c r="E322" s="4">
        <v>6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</row>
    <row r="323" spans="1:12">
      <c r="A323" s="3" t="s">
        <v>79</v>
      </c>
      <c r="B323" s="4">
        <v>8</v>
      </c>
      <c r="C323" s="4" t="s">
        <v>31</v>
      </c>
      <c r="D323" s="4">
        <v>6</v>
      </c>
      <c r="E323" s="4">
        <v>6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</row>
    <row r="324" spans="1:12">
      <c r="A324" s="3" t="s">
        <v>80</v>
      </c>
      <c r="B324" s="4">
        <v>9</v>
      </c>
      <c r="C324" s="4" t="s">
        <v>31</v>
      </c>
      <c r="D324" s="4">
        <v>240</v>
      </c>
      <c r="E324" s="4">
        <v>240</v>
      </c>
      <c r="F324" s="4">
        <v>316</v>
      </c>
      <c r="G324" s="4">
        <v>316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</row>
    <row r="325" spans="1:12">
      <c r="A325" s="3" t="s">
        <v>80</v>
      </c>
      <c r="B325" s="4">
        <v>10</v>
      </c>
      <c r="C325" s="4" t="s">
        <v>31</v>
      </c>
      <c r="D325" s="4">
        <v>0</v>
      </c>
      <c r="E325" s="4">
        <v>0</v>
      </c>
      <c r="F325" s="4">
        <v>6</v>
      </c>
      <c r="G325" s="4">
        <v>6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</row>
    <row r="326" spans="1:12">
      <c r="A326" s="3" t="s">
        <v>80</v>
      </c>
      <c r="B326" s="4">
        <v>11</v>
      </c>
      <c r="C326" s="4" t="s">
        <v>31</v>
      </c>
      <c r="D326" s="4">
        <v>210</v>
      </c>
      <c r="E326" s="4">
        <v>210</v>
      </c>
      <c r="F326" s="4">
        <v>66</v>
      </c>
      <c r="G326" s="4">
        <v>66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</row>
    <row r="327" spans="1:12">
      <c r="A327" s="3" t="s">
        <v>80</v>
      </c>
      <c r="B327" s="4">
        <v>12</v>
      </c>
      <c r="C327" s="4" t="s">
        <v>31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</row>
    <row r="328" spans="1:12">
      <c r="A328" s="3" t="s">
        <v>81</v>
      </c>
      <c r="B328" s="4">
        <v>1</v>
      </c>
      <c r="C328" s="4" t="s">
        <v>31</v>
      </c>
      <c r="D328" s="4">
        <v>96</v>
      </c>
      <c r="E328" s="4">
        <v>96</v>
      </c>
      <c r="F328" s="4">
        <v>78</v>
      </c>
      <c r="G328" s="4">
        <v>78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</row>
    <row r="329" spans="1:12">
      <c r="A329" s="3" t="s">
        <v>81</v>
      </c>
      <c r="B329" s="4">
        <v>2</v>
      </c>
      <c r="C329" s="4" t="s">
        <v>31</v>
      </c>
      <c r="D329" s="4">
        <v>0</v>
      </c>
      <c r="E329" s="4">
        <v>0</v>
      </c>
      <c r="F329" s="4">
        <v>2</v>
      </c>
      <c r="G329" s="4">
        <v>2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</row>
    <row r="330" spans="1:12">
      <c r="A330" s="3" t="s">
        <v>81</v>
      </c>
      <c r="B330" s="4">
        <v>3</v>
      </c>
      <c r="C330" s="4" t="s">
        <v>31</v>
      </c>
      <c r="D330" s="4">
        <v>0</v>
      </c>
      <c r="E330" s="4">
        <v>0</v>
      </c>
      <c r="F330" s="4">
        <v>1</v>
      </c>
      <c r="G330" s="4">
        <v>1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</row>
    <row r="331" spans="1:12">
      <c r="A331" s="3" t="s">
        <v>81</v>
      </c>
      <c r="B331" s="4">
        <v>4</v>
      </c>
      <c r="C331" s="4" t="s">
        <v>31</v>
      </c>
      <c r="D331" s="4">
        <v>0</v>
      </c>
      <c r="E331" s="4">
        <v>0</v>
      </c>
      <c r="F331" s="4">
        <v>2</v>
      </c>
      <c r="G331" s="4">
        <v>2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</row>
    <row r="332" spans="1:12">
      <c r="A332" s="3" t="s">
        <v>82</v>
      </c>
      <c r="B332" s="4">
        <v>1</v>
      </c>
      <c r="C332" s="4" t="s">
        <v>83</v>
      </c>
      <c r="D332" s="4">
        <v>24</v>
      </c>
      <c r="E332" s="4">
        <v>24</v>
      </c>
      <c r="F332" s="4">
        <v>2</v>
      </c>
      <c r="G332" s="4">
        <v>2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</row>
    <row r="333" spans="1:12">
      <c r="A333" s="3" t="s">
        <v>82</v>
      </c>
      <c r="B333" s="4">
        <v>2</v>
      </c>
      <c r="C333" s="4" t="s">
        <v>83</v>
      </c>
      <c r="D333" s="4">
        <v>4</v>
      </c>
      <c r="E333" s="4">
        <v>4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</row>
    <row r="334" spans="1:12">
      <c r="A334" s="3" t="s">
        <v>82</v>
      </c>
      <c r="B334" s="4">
        <v>3</v>
      </c>
      <c r="C334" s="4" t="s">
        <v>83</v>
      </c>
      <c r="D334" s="4">
        <v>4</v>
      </c>
      <c r="E334" s="4">
        <v>4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</row>
    <row r="335" spans="1:12">
      <c r="A335" s="3" t="s">
        <v>82</v>
      </c>
      <c r="B335" s="4">
        <v>4</v>
      </c>
      <c r="C335" s="4" t="s">
        <v>83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</row>
    <row r="336" spans="1:12">
      <c r="A336" s="3" t="s">
        <v>82</v>
      </c>
      <c r="B336" s="4">
        <v>5</v>
      </c>
      <c r="C336" s="4" t="s">
        <v>83</v>
      </c>
      <c r="D336" s="4">
        <v>30</v>
      </c>
      <c r="E336" s="4">
        <v>30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</row>
    <row r="337" spans="1:12">
      <c r="A337" s="3" t="s">
        <v>82</v>
      </c>
      <c r="B337" s="4">
        <v>6</v>
      </c>
      <c r="C337" s="4" t="s">
        <v>83</v>
      </c>
      <c r="D337" s="4">
        <v>5</v>
      </c>
      <c r="E337" s="4">
        <v>5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</row>
    <row r="338" spans="1:12">
      <c r="A338" s="3" t="s">
        <v>82</v>
      </c>
      <c r="B338" s="4">
        <v>7</v>
      </c>
      <c r="C338" s="4" t="s">
        <v>83</v>
      </c>
      <c r="D338" s="4">
        <v>4</v>
      </c>
      <c r="E338" s="4">
        <v>4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</row>
    <row r="339" spans="1:12">
      <c r="A339" s="3" t="s">
        <v>82</v>
      </c>
      <c r="B339" s="4">
        <v>8</v>
      </c>
      <c r="C339" s="4" t="s">
        <v>83</v>
      </c>
      <c r="D339" s="4">
        <v>6</v>
      </c>
      <c r="E339" s="4">
        <v>6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</row>
    <row r="340" spans="1:12">
      <c r="A340" s="3" t="s">
        <v>82</v>
      </c>
      <c r="B340" s="4">
        <v>9</v>
      </c>
      <c r="C340" s="4" t="s">
        <v>83</v>
      </c>
      <c r="D340" s="4">
        <v>17</v>
      </c>
      <c r="E340" s="4">
        <v>17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</row>
    <row r="341" spans="1:12">
      <c r="A341" s="3" t="s">
        <v>82</v>
      </c>
      <c r="B341" s="4">
        <v>10</v>
      </c>
      <c r="C341" s="4" t="s">
        <v>83</v>
      </c>
      <c r="D341" s="4">
        <v>14</v>
      </c>
      <c r="E341" s="4">
        <v>14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</row>
    <row r="342" spans="1:12">
      <c r="A342" s="3" t="s">
        <v>82</v>
      </c>
      <c r="B342" s="4">
        <v>11</v>
      </c>
      <c r="C342" s="4" t="s">
        <v>83</v>
      </c>
      <c r="D342" s="4">
        <v>30</v>
      </c>
      <c r="E342" s="4">
        <v>30</v>
      </c>
      <c r="F342" s="4">
        <v>1</v>
      </c>
      <c r="G342" s="4">
        <v>1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</row>
    <row r="343" spans="1:12">
      <c r="A343" s="3" t="s">
        <v>82</v>
      </c>
      <c r="B343" s="4">
        <v>12</v>
      </c>
      <c r="C343" s="4" t="s">
        <v>83</v>
      </c>
      <c r="D343" s="4">
        <v>1</v>
      </c>
      <c r="E343" s="4">
        <v>1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</row>
    <row r="344" spans="1:12">
      <c r="A344" s="3" t="s">
        <v>30</v>
      </c>
      <c r="B344" s="4">
        <v>1</v>
      </c>
      <c r="C344" s="4" t="s">
        <v>31</v>
      </c>
      <c r="D344" s="4">
        <v>48</v>
      </c>
      <c r="E344" s="4">
        <v>48</v>
      </c>
      <c r="F344" s="4">
        <v>51</v>
      </c>
      <c r="G344" s="4">
        <v>51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</row>
    <row r="345" spans="1:12">
      <c r="A345" s="3" t="s">
        <v>30</v>
      </c>
      <c r="B345" s="4">
        <v>2</v>
      </c>
      <c r="C345" s="4" t="s">
        <v>31</v>
      </c>
      <c r="D345" s="4">
        <v>5</v>
      </c>
      <c r="E345" s="4">
        <v>5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</row>
    <row r="346" spans="1:12">
      <c r="A346" s="3" t="s">
        <v>30</v>
      </c>
      <c r="B346" s="4">
        <v>3</v>
      </c>
      <c r="C346" s="4" t="s">
        <v>31</v>
      </c>
      <c r="D346" s="4">
        <v>3</v>
      </c>
      <c r="E346" s="4">
        <v>3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</row>
    <row r="347" spans="1:12">
      <c r="A347" s="3" t="s">
        <v>30</v>
      </c>
      <c r="B347" s="4">
        <v>4</v>
      </c>
      <c r="C347" s="4" t="s">
        <v>31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</row>
    <row r="348" spans="1:12">
      <c r="A348" s="3" t="s">
        <v>30</v>
      </c>
      <c r="B348" s="4">
        <v>5</v>
      </c>
      <c r="C348" s="4" t="s">
        <v>31</v>
      </c>
      <c r="D348" s="4">
        <v>150</v>
      </c>
      <c r="E348" s="4">
        <v>150</v>
      </c>
      <c r="F348" s="4">
        <v>81</v>
      </c>
      <c r="G348" s="4">
        <v>81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</row>
    <row r="349" spans="1:12">
      <c r="A349" s="3" t="s">
        <v>30</v>
      </c>
      <c r="B349" s="4">
        <v>6</v>
      </c>
      <c r="C349" s="4" t="s">
        <v>31</v>
      </c>
      <c r="D349" s="4">
        <v>6</v>
      </c>
      <c r="E349" s="4">
        <v>6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</row>
    <row r="350" spans="1:12">
      <c r="A350" s="3" t="s">
        <v>30</v>
      </c>
      <c r="B350" s="4">
        <v>7</v>
      </c>
      <c r="C350" s="4" t="s">
        <v>31</v>
      </c>
      <c r="D350" s="4">
        <v>16</v>
      </c>
      <c r="E350" s="4">
        <v>16</v>
      </c>
      <c r="F350" s="4">
        <v>1</v>
      </c>
      <c r="G350" s="4">
        <v>1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</row>
    <row r="351" spans="1:12">
      <c r="A351" s="3" t="s">
        <v>30</v>
      </c>
      <c r="B351" s="4">
        <v>8</v>
      </c>
      <c r="C351" s="4" t="s">
        <v>31</v>
      </c>
      <c r="D351" s="4">
        <v>10</v>
      </c>
      <c r="E351" s="4">
        <v>10</v>
      </c>
      <c r="F351" s="4">
        <v>3</v>
      </c>
      <c r="G351" s="4">
        <v>3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</row>
    <row r="352" spans="1:12">
      <c r="A352" s="3" t="s">
        <v>84</v>
      </c>
      <c r="B352" s="4">
        <v>1</v>
      </c>
      <c r="C352" s="4" t="s">
        <v>31</v>
      </c>
      <c r="D352" s="4">
        <v>48</v>
      </c>
      <c r="E352" s="4">
        <v>48</v>
      </c>
      <c r="F352" s="4">
        <v>82</v>
      </c>
      <c r="G352" s="4">
        <v>82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</row>
    <row r="353" spans="1:12">
      <c r="A353" s="3" t="s">
        <v>84</v>
      </c>
      <c r="B353" s="4">
        <v>2</v>
      </c>
      <c r="C353" s="4" t="s">
        <v>31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</row>
    <row r="354" spans="1:12">
      <c r="A354" s="3" t="s">
        <v>84</v>
      </c>
      <c r="B354" s="4">
        <v>3</v>
      </c>
      <c r="C354" s="4" t="s">
        <v>31</v>
      </c>
      <c r="D354" s="4">
        <v>0</v>
      </c>
      <c r="E354" s="4">
        <v>0</v>
      </c>
      <c r="F354" s="4">
        <v>2</v>
      </c>
      <c r="G354" s="4">
        <v>2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</row>
    <row r="355" spans="1:12">
      <c r="A355" s="3" t="s">
        <v>84</v>
      </c>
      <c r="B355" s="4">
        <v>4</v>
      </c>
      <c r="C355" s="4" t="s">
        <v>31</v>
      </c>
      <c r="D355" s="4">
        <v>0</v>
      </c>
      <c r="E355" s="4">
        <v>0</v>
      </c>
      <c r="F355" s="4">
        <v>2</v>
      </c>
      <c r="G355" s="4">
        <v>2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</row>
    <row r="356" spans="1:12">
      <c r="A356" s="3" t="s">
        <v>84</v>
      </c>
      <c r="B356" s="4">
        <v>5</v>
      </c>
      <c r="C356" s="4" t="s">
        <v>31</v>
      </c>
      <c r="D356" s="4">
        <v>52</v>
      </c>
      <c r="E356" s="4">
        <v>52</v>
      </c>
      <c r="F356" s="4">
        <v>53</v>
      </c>
      <c r="G356" s="4">
        <v>53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</row>
    <row r="357" spans="1:12">
      <c r="A357" s="3" t="s">
        <v>84</v>
      </c>
      <c r="B357" s="4">
        <v>6</v>
      </c>
      <c r="C357" s="4" t="s">
        <v>31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</row>
    <row r="358" spans="1:12">
      <c r="A358" s="3" t="s">
        <v>84</v>
      </c>
      <c r="B358" s="4">
        <v>7</v>
      </c>
      <c r="C358" s="4" t="s">
        <v>31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</row>
    <row r="359" spans="1:12">
      <c r="A359" s="3" t="s">
        <v>84</v>
      </c>
      <c r="B359" s="4">
        <v>8</v>
      </c>
      <c r="C359" s="4" t="s">
        <v>31</v>
      </c>
      <c r="D359" s="4">
        <v>1</v>
      </c>
      <c r="E359" s="4">
        <v>1</v>
      </c>
      <c r="F359" s="4">
        <v>6</v>
      </c>
      <c r="G359" s="4">
        <v>6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</row>
    <row r="360" spans="1:12">
      <c r="A360" s="3" t="s">
        <v>85</v>
      </c>
      <c r="B360" s="4">
        <v>1</v>
      </c>
      <c r="C360" s="4" t="s">
        <v>52</v>
      </c>
      <c r="D360" s="4">
        <v>24</v>
      </c>
      <c r="E360" s="4">
        <v>24</v>
      </c>
      <c r="F360" s="4">
        <v>12</v>
      </c>
      <c r="G360" s="4">
        <v>12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</row>
    <row r="361" spans="1:12">
      <c r="A361" s="3" t="s">
        <v>85</v>
      </c>
      <c r="B361" s="4">
        <v>2</v>
      </c>
      <c r="C361" s="4" t="s">
        <v>52</v>
      </c>
      <c r="D361" s="4">
        <v>8</v>
      </c>
      <c r="E361" s="4">
        <v>8</v>
      </c>
      <c r="F361" s="4">
        <v>1</v>
      </c>
      <c r="G361" s="4">
        <v>1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</row>
    <row r="362" spans="1:12">
      <c r="A362" s="3" t="s">
        <v>85</v>
      </c>
      <c r="B362" s="4">
        <v>3</v>
      </c>
      <c r="C362" s="4" t="s">
        <v>52</v>
      </c>
      <c r="D362" s="4">
        <v>8</v>
      </c>
      <c r="E362" s="4">
        <v>8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</row>
    <row r="363" spans="1:12">
      <c r="A363" s="3" t="s">
        <v>85</v>
      </c>
      <c r="B363" s="4">
        <v>4</v>
      </c>
      <c r="C363" s="4" t="s">
        <v>52</v>
      </c>
      <c r="D363" s="4">
        <v>14</v>
      </c>
      <c r="E363" s="4">
        <v>14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</row>
    <row r="364" spans="1:12">
      <c r="A364" s="3" t="s">
        <v>85</v>
      </c>
      <c r="B364" s="4">
        <v>5</v>
      </c>
      <c r="C364" s="4" t="s">
        <v>52</v>
      </c>
      <c r="D364" s="4">
        <v>30</v>
      </c>
      <c r="E364" s="4">
        <v>30</v>
      </c>
      <c r="F364" s="4">
        <v>10</v>
      </c>
      <c r="G364" s="4">
        <v>10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</row>
    <row r="365" spans="1:12">
      <c r="A365" s="3" t="s">
        <v>85</v>
      </c>
      <c r="B365" s="4">
        <v>6</v>
      </c>
      <c r="C365" s="4" t="s">
        <v>52</v>
      </c>
      <c r="D365" s="4">
        <v>10</v>
      </c>
      <c r="E365" s="4">
        <v>10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</row>
    <row r="366" spans="1:12">
      <c r="A366" s="3" t="s">
        <v>85</v>
      </c>
      <c r="B366" s="4">
        <v>7</v>
      </c>
      <c r="C366" s="4" t="s">
        <v>52</v>
      </c>
      <c r="D366" s="4">
        <v>14</v>
      </c>
      <c r="E366" s="4">
        <v>14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</row>
    <row r="367" spans="1:12">
      <c r="A367" s="3" t="s">
        <v>85</v>
      </c>
      <c r="B367" s="4">
        <v>8</v>
      </c>
      <c r="C367" s="4" t="s">
        <v>52</v>
      </c>
      <c r="D367" s="4">
        <v>12</v>
      </c>
      <c r="E367" s="4">
        <v>12</v>
      </c>
      <c r="F367" s="4">
        <v>1</v>
      </c>
      <c r="G367" s="4">
        <v>1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</row>
    <row r="368" spans="1:12">
      <c r="A368" s="3" t="s">
        <v>85</v>
      </c>
      <c r="B368" s="4">
        <v>9</v>
      </c>
      <c r="C368" s="4" t="s">
        <v>52</v>
      </c>
      <c r="D368" s="4">
        <v>30</v>
      </c>
      <c r="E368" s="4">
        <v>30</v>
      </c>
      <c r="F368" s="4">
        <v>5</v>
      </c>
      <c r="G368" s="4">
        <v>5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</row>
    <row r="369" spans="1:12">
      <c r="A369" s="3" t="s">
        <v>85</v>
      </c>
      <c r="B369" s="4">
        <v>10</v>
      </c>
      <c r="C369" s="4" t="s">
        <v>52</v>
      </c>
      <c r="D369" s="4">
        <v>9</v>
      </c>
      <c r="E369" s="4">
        <v>9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</row>
    <row r="370" spans="1:12">
      <c r="A370" s="3" t="s">
        <v>86</v>
      </c>
      <c r="B370" s="4">
        <v>1</v>
      </c>
      <c r="C370" s="4" t="s">
        <v>31</v>
      </c>
      <c r="D370" s="4">
        <v>72</v>
      </c>
      <c r="E370" s="4">
        <v>72</v>
      </c>
      <c r="F370" s="4">
        <v>10</v>
      </c>
      <c r="G370" s="4">
        <v>10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</row>
    <row r="371" spans="1:12">
      <c r="A371" s="3" t="s">
        <v>86</v>
      </c>
      <c r="B371" s="4">
        <v>2</v>
      </c>
      <c r="C371" s="4" t="s">
        <v>31</v>
      </c>
      <c r="D371" s="4">
        <v>42</v>
      </c>
      <c r="E371" s="4">
        <v>42</v>
      </c>
      <c r="F371" s="4">
        <v>3</v>
      </c>
      <c r="G371" s="4">
        <v>3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</row>
    <row r="372" spans="1:12">
      <c r="A372" s="3" t="s">
        <v>86</v>
      </c>
      <c r="B372" s="4">
        <v>3</v>
      </c>
      <c r="C372" s="4" t="s">
        <v>31</v>
      </c>
      <c r="D372" s="4">
        <v>39</v>
      </c>
      <c r="E372" s="4">
        <v>39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</row>
    <row r="373" spans="1:12">
      <c r="A373" s="3" t="s">
        <v>86</v>
      </c>
      <c r="B373" s="4">
        <v>4</v>
      </c>
      <c r="C373" s="4" t="s">
        <v>31</v>
      </c>
      <c r="D373" s="4">
        <v>27</v>
      </c>
      <c r="E373" s="4">
        <v>27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</row>
    <row r="374" spans="1:12">
      <c r="A374" s="3" t="s">
        <v>86</v>
      </c>
      <c r="B374" s="4">
        <v>5</v>
      </c>
      <c r="C374" s="4" t="s">
        <v>31</v>
      </c>
      <c r="D374" s="4">
        <v>120</v>
      </c>
      <c r="E374" s="4">
        <v>120</v>
      </c>
      <c r="F374" s="4">
        <v>15</v>
      </c>
      <c r="G374" s="4">
        <v>15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</row>
    <row r="375" spans="1:12">
      <c r="A375" s="3" t="s">
        <v>86</v>
      </c>
      <c r="B375" s="4">
        <v>6</v>
      </c>
      <c r="C375" s="4" t="s">
        <v>31</v>
      </c>
      <c r="D375" s="4">
        <v>37</v>
      </c>
      <c r="E375" s="4">
        <v>37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</row>
    <row r="376" spans="1:12">
      <c r="A376" s="3" t="s">
        <v>86</v>
      </c>
      <c r="B376" s="4">
        <v>7</v>
      </c>
      <c r="C376" s="4" t="s">
        <v>31</v>
      </c>
      <c r="D376" s="4">
        <v>34</v>
      </c>
      <c r="E376" s="4">
        <v>34</v>
      </c>
      <c r="F376" s="4">
        <v>4</v>
      </c>
      <c r="G376" s="4">
        <v>4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</row>
    <row r="377" spans="1:12">
      <c r="A377" s="3" t="s">
        <v>86</v>
      </c>
      <c r="B377" s="4">
        <v>8</v>
      </c>
      <c r="C377" s="4" t="s">
        <v>31</v>
      </c>
      <c r="D377" s="4">
        <v>42</v>
      </c>
      <c r="E377" s="4">
        <v>42</v>
      </c>
      <c r="F377" s="4">
        <v>4</v>
      </c>
      <c r="G377" s="4">
        <v>4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</row>
    <row r="378" spans="1:12">
      <c r="A378" s="3" t="s">
        <v>86</v>
      </c>
      <c r="B378" s="4">
        <v>9</v>
      </c>
      <c r="C378" s="4" t="s">
        <v>31</v>
      </c>
      <c r="D378" s="4">
        <v>215</v>
      </c>
      <c r="E378" s="4">
        <v>215</v>
      </c>
      <c r="F378" s="4">
        <v>33</v>
      </c>
      <c r="G378" s="4">
        <v>33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</row>
    <row r="379" spans="1:12">
      <c r="A379" s="3" t="s">
        <v>86</v>
      </c>
      <c r="B379" s="4">
        <v>10</v>
      </c>
      <c r="C379" s="4" t="s">
        <v>31</v>
      </c>
      <c r="D379" s="4">
        <v>66</v>
      </c>
      <c r="E379" s="4">
        <v>66</v>
      </c>
      <c r="F379" s="4">
        <v>1</v>
      </c>
      <c r="G379" s="4">
        <v>1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</row>
    <row r="380" spans="1:12">
      <c r="A380" s="3" t="s">
        <v>86</v>
      </c>
      <c r="B380" s="4">
        <v>11</v>
      </c>
      <c r="C380" s="4" t="s">
        <v>31</v>
      </c>
      <c r="D380" s="4">
        <v>250</v>
      </c>
      <c r="E380" s="4">
        <v>250</v>
      </c>
      <c r="F380" s="4">
        <v>62</v>
      </c>
      <c r="G380" s="4">
        <v>62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</row>
    <row r="381" spans="1:12">
      <c r="A381" s="3" t="s">
        <v>86</v>
      </c>
      <c r="B381" s="4">
        <v>12</v>
      </c>
      <c r="C381" s="4" t="s">
        <v>31</v>
      </c>
      <c r="D381" s="4">
        <v>37</v>
      </c>
      <c r="E381" s="4">
        <v>37</v>
      </c>
      <c r="F381" s="4">
        <v>4</v>
      </c>
      <c r="G381" s="4">
        <v>4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</row>
    <row r="382" spans="1:12">
      <c r="A382" s="3" t="s">
        <v>87</v>
      </c>
      <c r="B382" s="4">
        <v>1</v>
      </c>
      <c r="C382" s="4" t="s">
        <v>31</v>
      </c>
      <c r="D382" s="4">
        <v>72</v>
      </c>
      <c r="E382" s="4">
        <v>72</v>
      </c>
      <c r="F382" s="4">
        <v>30</v>
      </c>
      <c r="G382" s="4">
        <v>30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</row>
    <row r="383" spans="1:12">
      <c r="A383" s="3" t="s">
        <v>87</v>
      </c>
      <c r="B383" s="4">
        <v>2</v>
      </c>
      <c r="C383" s="4" t="s">
        <v>31</v>
      </c>
      <c r="D383" s="4">
        <v>20</v>
      </c>
      <c r="E383" s="4">
        <v>20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</row>
    <row r="384" spans="1:12">
      <c r="A384" s="3" t="s">
        <v>87</v>
      </c>
      <c r="B384" s="4">
        <v>3</v>
      </c>
      <c r="C384" s="4" t="s">
        <v>31</v>
      </c>
      <c r="D384" s="4">
        <v>15</v>
      </c>
      <c r="E384" s="4">
        <v>15</v>
      </c>
      <c r="F384" s="4">
        <v>1</v>
      </c>
      <c r="G384" s="4">
        <v>1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</row>
    <row r="385" spans="1:12">
      <c r="A385" s="3" t="s">
        <v>87</v>
      </c>
      <c r="B385" s="4">
        <v>4</v>
      </c>
      <c r="C385" s="4" t="s">
        <v>31</v>
      </c>
      <c r="D385" s="4">
        <v>3</v>
      </c>
      <c r="E385" s="4">
        <v>3</v>
      </c>
      <c r="F385" s="4">
        <v>1</v>
      </c>
      <c r="G385" s="4">
        <v>1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</row>
    <row r="386" spans="1:12">
      <c r="A386" s="3" t="s">
        <v>87</v>
      </c>
      <c r="B386" s="4">
        <v>5</v>
      </c>
      <c r="C386" s="4" t="s">
        <v>31</v>
      </c>
      <c r="D386" s="4">
        <v>60</v>
      </c>
      <c r="E386" s="4">
        <v>60</v>
      </c>
      <c r="F386" s="4">
        <v>10</v>
      </c>
      <c r="G386" s="4">
        <v>10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</row>
    <row r="387" spans="1:12">
      <c r="A387" s="3" t="s">
        <v>87</v>
      </c>
      <c r="B387" s="4">
        <v>6</v>
      </c>
      <c r="C387" s="4" t="s">
        <v>31</v>
      </c>
      <c r="D387" s="4">
        <v>12</v>
      </c>
      <c r="E387" s="4">
        <v>12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</row>
    <row r="388" spans="1:12">
      <c r="A388" s="3" t="s">
        <v>87</v>
      </c>
      <c r="B388" s="4">
        <v>7</v>
      </c>
      <c r="C388" s="4" t="s">
        <v>31</v>
      </c>
      <c r="D388" s="4">
        <v>16</v>
      </c>
      <c r="E388" s="4">
        <v>16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</row>
    <row r="389" spans="1:12">
      <c r="A389" s="3" t="s">
        <v>87</v>
      </c>
      <c r="B389" s="4">
        <v>8</v>
      </c>
      <c r="C389" s="4" t="s">
        <v>31</v>
      </c>
      <c r="D389" s="4">
        <v>14</v>
      </c>
      <c r="E389" s="4">
        <v>14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</row>
    <row r="390" spans="1:12">
      <c r="A390" s="3" t="s">
        <v>88</v>
      </c>
      <c r="B390" s="4">
        <v>1</v>
      </c>
      <c r="C390" s="4" t="s">
        <v>52</v>
      </c>
      <c r="D390" s="4">
        <v>48</v>
      </c>
      <c r="E390" s="4">
        <v>48</v>
      </c>
      <c r="F390" s="4">
        <v>22</v>
      </c>
      <c r="G390" s="4">
        <v>22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</row>
    <row r="391" spans="1:12">
      <c r="A391" s="3" t="s">
        <v>88</v>
      </c>
      <c r="B391" s="4">
        <v>2</v>
      </c>
      <c r="C391" s="4" t="s">
        <v>52</v>
      </c>
      <c r="D391" s="4">
        <v>16</v>
      </c>
      <c r="E391" s="4">
        <v>16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</row>
    <row r="392" spans="1:12">
      <c r="A392" s="3" t="s">
        <v>88</v>
      </c>
      <c r="B392" s="4">
        <v>3</v>
      </c>
      <c r="C392" s="4" t="s">
        <v>52</v>
      </c>
      <c r="D392" s="4">
        <v>4</v>
      </c>
      <c r="E392" s="4">
        <v>4</v>
      </c>
      <c r="F392" s="4">
        <v>1</v>
      </c>
      <c r="G392" s="4">
        <v>1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</row>
    <row r="393" spans="1:12">
      <c r="A393" s="3" t="s">
        <v>88</v>
      </c>
      <c r="B393" s="4">
        <v>4</v>
      </c>
      <c r="C393" s="4" t="s">
        <v>52</v>
      </c>
      <c r="D393" s="4">
        <v>3</v>
      </c>
      <c r="E393" s="4">
        <v>3</v>
      </c>
      <c r="F393" s="4">
        <v>2</v>
      </c>
      <c r="G393" s="4">
        <v>2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</row>
    <row r="394" spans="1:12">
      <c r="A394" s="3" t="s">
        <v>88</v>
      </c>
      <c r="B394" s="4">
        <v>5</v>
      </c>
      <c r="C394" s="4" t="s">
        <v>52</v>
      </c>
      <c r="D394" s="4">
        <v>60</v>
      </c>
      <c r="E394" s="4">
        <v>60</v>
      </c>
      <c r="F394" s="4">
        <v>74</v>
      </c>
      <c r="G394" s="4">
        <v>74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</row>
    <row r="395" spans="1:12">
      <c r="A395" s="3" t="s">
        <v>88</v>
      </c>
      <c r="B395" s="4">
        <v>6</v>
      </c>
      <c r="C395" s="4" t="s">
        <v>52</v>
      </c>
      <c r="D395" s="4">
        <v>10</v>
      </c>
      <c r="E395" s="4">
        <v>10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</row>
    <row r="396" spans="1:12">
      <c r="A396" s="3" t="s">
        <v>88</v>
      </c>
      <c r="B396" s="4">
        <v>7</v>
      </c>
      <c r="C396" s="4" t="s">
        <v>52</v>
      </c>
      <c r="D396" s="4">
        <v>10</v>
      </c>
      <c r="E396" s="4">
        <v>10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</row>
    <row r="397" spans="1:12">
      <c r="A397" s="3" t="s">
        <v>88</v>
      </c>
      <c r="B397" s="4">
        <v>8</v>
      </c>
      <c r="C397" s="4" t="s">
        <v>52</v>
      </c>
      <c r="D397" s="4">
        <v>11</v>
      </c>
      <c r="E397" s="4">
        <v>11</v>
      </c>
      <c r="F397" s="4">
        <v>1</v>
      </c>
      <c r="G397" s="4">
        <v>1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</row>
    <row r="398" spans="1:12">
      <c r="A398" s="3" t="s">
        <v>88</v>
      </c>
      <c r="B398" s="4">
        <v>9</v>
      </c>
      <c r="C398" s="4" t="s">
        <v>52</v>
      </c>
      <c r="D398" s="4">
        <v>60</v>
      </c>
      <c r="E398" s="4">
        <v>60</v>
      </c>
      <c r="F398" s="4">
        <v>38</v>
      </c>
      <c r="G398" s="4">
        <v>38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</row>
    <row r="399" spans="1:12">
      <c r="A399" s="3" t="s">
        <v>88</v>
      </c>
      <c r="B399" s="4">
        <v>10</v>
      </c>
      <c r="C399" s="4" t="s">
        <v>52</v>
      </c>
      <c r="D399" s="4">
        <v>12</v>
      </c>
      <c r="E399" s="4">
        <v>12</v>
      </c>
      <c r="F399" s="4">
        <v>1</v>
      </c>
      <c r="G399" s="4">
        <v>1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</row>
    <row r="400" spans="1:12">
      <c r="A400" s="3" t="s">
        <v>89</v>
      </c>
      <c r="B400" s="4">
        <v>9</v>
      </c>
      <c r="C400" s="4" t="s">
        <v>31</v>
      </c>
      <c r="D400" s="4">
        <v>210</v>
      </c>
      <c r="E400" s="4">
        <v>210</v>
      </c>
      <c r="F400" s="4">
        <v>491</v>
      </c>
      <c r="G400" s="4">
        <v>491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</row>
    <row r="401" spans="1:12">
      <c r="A401" s="3" t="s">
        <v>89</v>
      </c>
      <c r="B401" s="4">
        <v>10</v>
      </c>
      <c r="C401" s="4" t="s">
        <v>31</v>
      </c>
      <c r="D401" s="4">
        <v>0</v>
      </c>
      <c r="E401" s="4">
        <v>0</v>
      </c>
      <c r="F401" s="4">
        <v>13</v>
      </c>
      <c r="G401" s="4">
        <v>13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</row>
    <row r="402" spans="1:12">
      <c r="A402" s="3" t="s">
        <v>89</v>
      </c>
      <c r="B402" s="4">
        <v>11</v>
      </c>
      <c r="C402" s="4" t="s">
        <v>31</v>
      </c>
      <c r="D402" s="4">
        <v>210</v>
      </c>
      <c r="E402" s="4">
        <v>210</v>
      </c>
      <c r="F402" s="4">
        <v>210</v>
      </c>
      <c r="G402" s="4">
        <v>210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</row>
    <row r="403" spans="1:12">
      <c r="A403" s="3" t="s">
        <v>89</v>
      </c>
      <c r="B403" s="4">
        <v>12</v>
      </c>
      <c r="C403" s="4" t="s">
        <v>31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</row>
    <row r="404" spans="1:12">
      <c r="A404" s="3" t="s">
        <v>90</v>
      </c>
      <c r="B404" s="4">
        <v>1</v>
      </c>
      <c r="C404" s="4" t="s">
        <v>31</v>
      </c>
      <c r="D404" s="4">
        <v>4</v>
      </c>
      <c r="E404" s="4">
        <v>4</v>
      </c>
      <c r="F404" s="4">
        <v>2</v>
      </c>
      <c r="G404" s="4">
        <v>2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</row>
    <row r="405" spans="1:12">
      <c r="A405" s="3" t="s">
        <v>90</v>
      </c>
      <c r="B405" s="4">
        <v>2</v>
      </c>
      <c r="C405" s="4" t="s">
        <v>31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</row>
    <row r="406" spans="1:12">
      <c r="A406" s="3" t="s">
        <v>90</v>
      </c>
      <c r="B406" s="4">
        <v>3</v>
      </c>
      <c r="C406" s="4" t="s">
        <v>31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</row>
    <row r="407" spans="1:12">
      <c r="A407" s="3" t="s">
        <v>90</v>
      </c>
      <c r="B407" s="4">
        <v>4</v>
      </c>
      <c r="C407" s="4" t="s">
        <v>31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</row>
    <row r="408" spans="1:12">
      <c r="A408" s="3" t="s">
        <v>91</v>
      </c>
      <c r="B408" s="4">
        <v>1</v>
      </c>
      <c r="C408" s="4" t="s">
        <v>31</v>
      </c>
      <c r="D408" s="4">
        <v>72</v>
      </c>
      <c r="E408" s="4">
        <v>72</v>
      </c>
      <c r="F408" s="4">
        <v>75</v>
      </c>
      <c r="G408" s="4">
        <v>75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</row>
    <row r="409" spans="1:12">
      <c r="A409" s="3" t="s">
        <v>91</v>
      </c>
      <c r="B409" s="4">
        <v>2</v>
      </c>
      <c r="C409" s="4" t="s">
        <v>31</v>
      </c>
      <c r="D409" s="4">
        <v>2</v>
      </c>
      <c r="E409" s="4">
        <v>2</v>
      </c>
      <c r="F409" s="4">
        <v>3</v>
      </c>
      <c r="G409" s="4">
        <v>3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</row>
    <row r="410" spans="1:12">
      <c r="A410" s="3" t="s">
        <v>91</v>
      </c>
      <c r="B410" s="4">
        <v>3</v>
      </c>
      <c r="C410" s="4" t="s">
        <v>31</v>
      </c>
      <c r="D410" s="4">
        <v>1</v>
      </c>
      <c r="E410" s="4">
        <v>1</v>
      </c>
      <c r="F410" s="4">
        <v>2</v>
      </c>
      <c r="G410" s="4">
        <v>2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</row>
    <row r="411" spans="1:12">
      <c r="A411" s="3" t="s">
        <v>91</v>
      </c>
      <c r="B411" s="4">
        <v>4</v>
      </c>
      <c r="C411" s="4" t="s">
        <v>31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</row>
    <row r="412" spans="1:12">
      <c r="A412" s="3" t="s">
        <v>92</v>
      </c>
      <c r="B412" s="4">
        <v>1</v>
      </c>
      <c r="C412" s="4" t="s">
        <v>31</v>
      </c>
      <c r="D412" s="4">
        <v>168</v>
      </c>
      <c r="E412" s="4">
        <v>168</v>
      </c>
      <c r="F412" s="4">
        <v>230</v>
      </c>
      <c r="G412" s="4">
        <v>230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</row>
    <row r="413" spans="1:12">
      <c r="A413" s="3" t="s">
        <v>92</v>
      </c>
      <c r="B413" s="4">
        <v>2</v>
      </c>
      <c r="C413" s="4" t="s">
        <v>31</v>
      </c>
      <c r="D413" s="4">
        <v>0</v>
      </c>
      <c r="E413" s="4">
        <v>0</v>
      </c>
      <c r="F413" s="4">
        <v>2</v>
      </c>
      <c r="G413" s="4">
        <v>2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</row>
    <row r="414" spans="1:12">
      <c r="A414" s="3" t="s">
        <v>92</v>
      </c>
      <c r="B414" s="4">
        <v>3</v>
      </c>
      <c r="C414" s="4" t="s">
        <v>31</v>
      </c>
      <c r="D414" s="4">
        <v>1</v>
      </c>
      <c r="E414" s="4">
        <v>1</v>
      </c>
      <c r="F414" s="4">
        <v>3</v>
      </c>
      <c r="G414" s="4">
        <v>3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</row>
    <row r="415" spans="1:12">
      <c r="A415" s="3" t="s">
        <v>92</v>
      </c>
      <c r="B415" s="4">
        <v>4</v>
      </c>
      <c r="C415" s="4" t="s">
        <v>31</v>
      </c>
      <c r="D415" s="4">
        <v>0</v>
      </c>
      <c r="E415" s="4">
        <v>0</v>
      </c>
      <c r="F415" s="4">
        <v>3</v>
      </c>
      <c r="G415" s="4">
        <v>3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</row>
    <row r="416" spans="1:12">
      <c r="A416" s="3" t="s">
        <v>92</v>
      </c>
      <c r="B416" s="4">
        <v>5</v>
      </c>
      <c r="C416" s="4" t="s">
        <v>31</v>
      </c>
      <c r="D416" s="4">
        <v>180</v>
      </c>
      <c r="E416" s="4">
        <v>180</v>
      </c>
      <c r="F416" s="4">
        <v>94</v>
      </c>
      <c r="G416" s="4">
        <v>94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</row>
    <row r="417" spans="1:12">
      <c r="A417" s="3" t="s">
        <v>92</v>
      </c>
      <c r="B417" s="4">
        <v>6</v>
      </c>
      <c r="C417" s="4" t="s">
        <v>31</v>
      </c>
      <c r="D417" s="4">
        <v>8</v>
      </c>
      <c r="E417" s="4">
        <v>8</v>
      </c>
      <c r="F417" s="4">
        <v>4</v>
      </c>
      <c r="G417" s="4">
        <v>4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</row>
    <row r="418" spans="1:12">
      <c r="A418" s="3" t="s">
        <v>92</v>
      </c>
      <c r="B418" s="4">
        <v>7</v>
      </c>
      <c r="C418" s="4" t="s">
        <v>31</v>
      </c>
      <c r="D418" s="4">
        <v>0</v>
      </c>
      <c r="E418" s="4">
        <v>0</v>
      </c>
      <c r="F418" s="4">
        <v>1</v>
      </c>
      <c r="G418" s="4">
        <v>1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</row>
    <row r="419" spans="1:12">
      <c r="A419" s="3" t="s">
        <v>92</v>
      </c>
      <c r="B419" s="4">
        <v>8</v>
      </c>
      <c r="C419" s="4" t="s">
        <v>31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</row>
    <row r="420" spans="1:12">
      <c r="A420" s="3" t="s">
        <v>17</v>
      </c>
      <c r="B420" s="4">
        <v>1</v>
      </c>
      <c r="C420" s="4" t="s">
        <v>31</v>
      </c>
      <c r="D420" s="4">
        <v>96</v>
      </c>
      <c r="E420" s="4">
        <v>96</v>
      </c>
      <c r="F420" s="4">
        <v>86</v>
      </c>
      <c r="G420" s="4">
        <v>86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</row>
    <row r="421" spans="1:12">
      <c r="A421" s="3" t="s">
        <v>17</v>
      </c>
      <c r="B421" s="4">
        <v>2</v>
      </c>
      <c r="C421" s="4" t="s">
        <v>31</v>
      </c>
      <c r="D421" s="4">
        <v>10</v>
      </c>
      <c r="E421" s="4">
        <v>10</v>
      </c>
      <c r="F421" s="4">
        <v>1</v>
      </c>
      <c r="G421" s="4">
        <v>1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</row>
    <row r="422" spans="1:12">
      <c r="A422" s="3" t="s">
        <v>17</v>
      </c>
      <c r="B422" s="4">
        <v>3</v>
      </c>
      <c r="C422" s="4" t="s">
        <v>31</v>
      </c>
      <c r="D422" s="4">
        <v>1</v>
      </c>
      <c r="E422" s="4">
        <v>1</v>
      </c>
      <c r="F422" s="4">
        <v>2</v>
      </c>
      <c r="G422" s="4">
        <v>2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</row>
    <row r="423" spans="1:12">
      <c r="A423" s="3" t="s">
        <v>17</v>
      </c>
      <c r="B423" s="4">
        <v>4</v>
      </c>
      <c r="C423" s="4" t="s">
        <v>31</v>
      </c>
      <c r="D423" s="4">
        <v>0</v>
      </c>
      <c r="E423" s="4">
        <v>0</v>
      </c>
      <c r="F423" s="4">
        <v>4</v>
      </c>
      <c r="G423" s="4">
        <v>4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</row>
    <row r="424" spans="1:12">
      <c r="A424" s="3" t="s">
        <v>17</v>
      </c>
      <c r="B424" s="4">
        <v>5</v>
      </c>
      <c r="C424" s="4" t="s">
        <v>31</v>
      </c>
      <c r="D424" s="4">
        <v>116</v>
      </c>
      <c r="E424" s="4">
        <v>116</v>
      </c>
      <c r="F424" s="4">
        <v>83</v>
      </c>
      <c r="G424" s="4">
        <v>83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</row>
    <row r="425" spans="1:12">
      <c r="A425" s="3" t="s">
        <v>17</v>
      </c>
      <c r="B425" s="4">
        <v>6</v>
      </c>
      <c r="C425" s="4" t="s">
        <v>31</v>
      </c>
      <c r="D425" s="4">
        <v>12</v>
      </c>
      <c r="E425" s="4">
        <v>12</v>
      </c>
      <c r="F425" s="4">
        <v>1</v>
      </c>
      <c r="G425" s="4">
        <v>1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</row>
    <row r="426" spans="1:12">
      <c r="A426" s="3" t="s">
        <v>17</v>
      </c>
      <c r="B426" s="4">
        <v>7</v>
      </c>
      <c r="C426" s="4" t="s">
        <v>31</v>
      </c>
      <c r="D426" s="4">
        <v>19</v>
      </c>
      <c r="E426" s="4">
        <v>19</v>
      </c>
      <c r="F426" s="4">
        <v>1</v>
      </c>
      <c r="G426" s="4">
        <v>1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</row>
    <row r="427" spans="1:12">
      <c r="A427" s="3" t="s">
        <v>17</v>
      </c>
      <c r="B427" s="4">
        <v>8</v>
      </c>
      <c r="C427" s="4" t="s">
        <v>31</v>
      </c>
      <c r="D427" s="4">
        <v>12</v>
      </c>
      <c r="E427" s="4">
        <v>12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</row>
    <row r="428" spans="1:12">
      <c r="A428" s="3" t="s">
        <v>93</v>
      </c>
      <c r="B428" s="4">
        <v>1</v>
      </c>
      <c r="C428" s="4" t="s">
        <v>31</v>
      </c>
      <c r="D428" s="4">
        <v>24</v>
      </c>
      <c r="E428" s="4">
        <v>24</v>
      </c>
      <c r="F428" s="4">
        <v>9</v>
      </c>
      <c r="G428" s="4">
        <v>9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</row>
    <row r="429" spans="1:12">
      <c r="A429" s="3" t="s">
        <v>93</v>
      </c>
      <c r="B429" s="4">
        <v>1</v>
      </c>
      <c r="C429" s="4" t="s">
        <v>52</v>
      </c>
      <c r="D429" s="4">
        <v>24</v>
      </c>
      <c r="E429" s="4">
        <v>24</v>
      </c>
      <c r="F429" s="4">
        <v>10</v>
      </c>
      <c r="G429" s="4">
        <v>10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</row>
    <row r="430" spans="1:12">
      <c r="A430" s="3" t="s">
        <v>93</v>
      </c>
      <c r="B430" s="4">
        <v>2</v>
      </c>
      <c r="C430" s="4" t="s">
        <v>52</v>
      </c>
      <c r="D430" s="4">
        <v>2</v>
      </c>
      <c r="E430" s="4">
        <v>2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</row>
    <row r="431" spans="1:12">
      <c r="A431" s="3" t="s">
        <v>93</v>
      </c>
      <c r="B431" s="4">
        <v>3</v>
      </c>
      <c r="C431" s="4" t="s">
        <v>52</v>
      </c>
      <c r="D431" s="4">
        <v>1</v>
      </c>
      <c r="E431" s="4">
        <v>1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</row>
    <row r="432" spans="1:12">
      <c r="A432" s="3" t="s">
        <v>93</v>
      </c>
      <c r="B432" s="4">
        <v>4</v>
      </c>
      <c r="C432" s="4" t="s">
        <v>52</v>
      </c>
      <c r="D432" s="4">
        <v>2</v>
      </c>
      <c r="E432" s="4">
        <v>2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</row>
    <row r="433" spans="1:12">
      <c r="A433" s="3" t="s">
        <v>93</v>
      </c>
      <c r="B433" s="4">
        <v>5</v>
      </c>
      <c r="C433" s="4" t="s">
        <v>52</v>
      </c>
      <c r="D433" s="4">
        <v>60</v>
      </c>
      <c r="E433" s="4">
        <v>60</v>
      </c>
      <c r="F433" s="4">
        <v>21</v>
      </c>
      <c r="G433" s="4">
        <v>21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</row>
    <row r="434" spans="1:12">
      <c r="A434" s="3" t="s">
        <v>93</v>
      </c>
      <c r="B434" s="4">
        <v>6</v>
      </c>
      <c r="C434" s="4" t="s">
        <v>52</v>
      </c>
      <c r="D434" s="4">
        <v>9</v>
      </c>
      <c r="E434" s="4">
        <v>9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</row>
    <row r="435" spans="1:12">
      <c r="A435" s="3" t="s">
        <v>93</v>
      </c>
      <c r="B435" s="4">
        <v>7</v>
      </c>
      <c r="C435" s="4" t="s">
        <v>52</v>
      </c>
      <c r="D435" s="4">
        <v>25</v>
      </c>
      <c r="E435" s="4">
        <v>25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</row>
    <row r="436" spans="1:12">
      <c r="A436" s="3" t="s">
        <v>93</v>
      </c>
      <c r="B436" s="4">
        <v>8</v>
      </c>
      <c r="C436" s="4" t="s">
        <v>52</v>
      </c>
      <c r="D436" s="4">
        <v>25</v>
      </c>
      <c r="E436" s="4">
        <v>25</v>
      </c>
      <c r="F436" s="4">
        <v>1</v>
      </c>
      <c r="G436" s="4">
        <v>1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</row>
    <row r="437" spans="1:12">
      <c r="A437" s="3" t="s">
        <v>93</v>
      </c>
      <c r="B437" s="4">
        <v>9</v>
      </c>
      <c r="C437" s="4" t="s">
        <v>52</v>
      </c>
      <c r="D437" s="4">
        <v>60</v>
      </c>
      <c r="E437" s="4">
        <v>60</v>
      </c>
      <c r="F437" s="4">
        <v>4</v>
      </c>
      <c r="G437" s="4">
        <v>4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</row>
    <row r="438" spans="1:12">
      <c r="A438" s="3" t="s">
        <v>93</v>
      </c>
      <c r="B438" s="4">
        <v>10</v>
      </c>
      <c r="C438" s="4" t="s">
        <v>52</v>
      </c>
      <c r="D438" s="4">
        <v>5</v>
      </c>
      <c r="E438" s="4">
        <v>5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</row>
    <row r="439" spans="1:12">
      <c r="A439" s="3" t="s">
        <v>94</v>
      </c>
      <c r="B439" s="4">
        <v>11</v>
      </c>
      <c r="C439" s="4" t="s">
        <v>43</v>
      </c>
      <c r="D439" s="4">
        <v>50</v>
      </c>
      <c r="E439" s="4">
        <v>50</v>
      </c>
      <c r="F439" s="4">
        <v>20</v>
      </c>
      <c r="G439" s="4">
        <v>20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</row>
    <row r="440" spans="1:12">
      <c r="A440" s="3" t="s">
        <v>94</v>
      </c>
      <c r="B440" s="4">
        <v>12</v>
      </c>
      <c r="C440" s="4" t="s">
        <v>43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</row>
    <row r="441" spans="1:12">
      <c r="A441" s="3" t="s">
        <v>94</v>
      </c>
      <c r="B441" s="4">
        <v>12</v>
      </c>
      <c r="C441" s="4" t="s">
        <v>31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</row>
    <row r="442" spans="1:12">
      <c r="A442" s="3" t="s">
        <v>95</v>
      </c>
      <c r="B442" s="4">
        <v>9</v>
      </c>
      <c r="C442" s="4" t="s">
        <v>31</v>
      </c>
      <c r="D442" s="4">
        <v>150</v>
      </c>
      <c r="E442" s="4">
        <v>150</v>
      </c>
      <c r="F442" s="4">
        <v>372</v>
      </c>
      <c r="G442" s="4">
        <v>372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</row>
    <row r="443" spans="1:12">
      <c r="A443" s="3" t="s">
        <v>95</v>
      </c>
      <c r="B443" s="4">
        <v>10</v>
      </c>
      <c r="C443" s="4" t="s">
        <v>31</v>
      </c>
      <c r="D443" s="4">
        <v>0</v>
      </c>
      <c r="E443" s="4">
        <v>0</v>
      </c>
      <c r="F443" s="4">
        <v>3</v>
      </c>
      <c r="G443" s="4">
        <v>3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</row>
    <row r="444" spans="1:12">
      <c r="A444" s="3" t="s">
        <v>95</v>
      </c>
      <c r="B444" s="4">
        <v>11</v>
      </c>
      <c r="C444" s="4" t="s">
        <v>31</v>
      </c>
      <c r="D444" s="4">
        <v>90</v>
      </c>
      <c r="E444" s="4">
        <v>90</v>
      </c>
      <c r="F444" s="4">
        <v>37</v>
      </c>
      <c r="G444" s="4">
        <v>37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</row>
    <row r="445" spans="1:12">
      <c r="A445" s="3" t="s">
        <v>95</v>
      </c>
      <c r="B445" s="4">
        <v>12</v>
      </c>
      <c r="C445" s="4" t="s">
        <v>31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</row>
    <row r="446" spans="1:12">
      <c r="A446" s="3" t="s">
        <v>96</v>
      </c>
      <c r="B446" s="4">
        <v>1</v>
      </c>
      <c r="C446" s="4" t="s">
        <v>52</v>
      </c>
      <c r="D446" s="4">
        <v>72</v>
      </c>
      <c r="E446" s="4">
        <v>72</v>
      </c>
      <c r="F446" s="4">
        <v>106</v>
      </c>
      <c r="G446" s="4">
        <v>106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</row>
    <row r="447" spans="1:12">
      <c r="A447" s="3" t="s">
        <v>96</v>
      </c>
      <c r="B447" s="4">
        <v>2</v>
      </c>
      <c r="C447" s="4" t="s">
        <v>52</v>
      </c>
      <c r="D447" s="4">
        <v>72</v>
      </c>
      <c r="E447" s="4">
        <v>72</v>
      </c>
      <c r="F447" s="4">
        <v>1</v>
      </c>
      <c r="G447" s="4">
        <v>1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</row>
    <row r="448" spans="1:12">
      <c r="A448" s="3" t="s">
        <v>96</v>
      </c>
      <c r="B448" s="4">
        <v>3</v>
      </c>
      <c r="C448" s="4" t="s">
        <v>52</v>
      </c>
      <c r="D448" s="4">
        <v>72</v>
      </c>
      <c r="E448" s="4">
        <v>72</v>
      </c>
      <c r="F448" s="4">
        <v>1</v>
      </c>
      <c r="G448" s="4">
        <v>1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</row>
    <row r="449" spans="1:12">
      <c r="A449" s="3" t="s">
        <v>96</v>
      </c>
      <c r="B449" s="4">
        <v>4</v>
      </c>
      <c r="C449" s="4" t="s">
        <v>52</v>
      </c>
      <c r="D449" s="4">
        <v>100</v>
      </c>
      <c r="E449" s="4">
        <v>100</v>
      </c>
      <c r="F449" s="4">
        <v>1</v>
      </c>
      <c r="G449" s="4">
        <v>1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</row>
    <row r="450" spans="1:12">
      <c r="A450" s="3" t="s">
        <v>96</v>
      </c>
      <c r="B450" s="4">
        <v>5</v>
      </c>
      <c r="C450" s="4" t="s">
        <v>52</v>
      </c>
      <c r="D450" s="4">
        <v>150</v>
      </c>
      <c r="E450" s="4">
        <v>150</v>
      </c>
      <c r="F450" s="4">
        <v>132</v>
      </c>
      <c r="G450" s="4">
        <v>132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</row>
    <row r="451" spans="1:12">
      <c r="A451" s="3" t="s">
        <v>96</v>
      </c>
      <c r="B451" s="4">
        <v>6</v>
      </c>
      <c r="C451" s="4" t="s">
        <v>52</v>
      </c>
      <c r="D451" s="4">
        <v>13</v>
      </c>
      <c r="E451" s="4">
        <v>13</v>
      </c>
      <c r="F451" s="4">
        <v>3</v>
      </c>
      <c r="G451" s="4">
        <v>3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</row>
    <row r="452" spans="1:12">
      <c r="A452" s="3" t="s">
        <v>96</v>
      </c>
      <c r="B452" s="4">
        <v>7</v>
      </c>
      <c r="C452" s="4" t="s">
        <v>52</v>
      </c>
      <c r="D452" s="4">
        <v>22</v>
      </c>
      <c r="E452" s="4">
        <v>22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</row>
    <row r="453" spans="1:12">
      <c r="A453" s="3" t="s">
        <v>96</v>
      </c>
      <c r="B453" s="4">
        <v>8</v>
      </c>
      <c r="C453" s="4" t="s">
        <v>52</v>
      </c>
      <c r="D453" s="4">
        <v>11</v>
      </c>
      <c r="E453" s="4">
        <v>11</v>
      </c>
      <c r="F453" s="4">
        <v>8</v>
      </c>
      <c r="G453" s="4">
        <v>8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</row>
    <row r="454" spans="1:12">
      <c r="A454" s="3" t="s">
        <v>96</v>
      </c>
      <c r="B454" s="4">
        <v>9</v>
      </c>
      <c r="C454" s="4" t="s">
        <v>52</v>
      </c>
      <c r="D454" s="4">
        <v>120</v>
      </c>
      <c r="E454" s="4">
        <v>120</v>
      </c>
      <c r="F454" s="4">
        <v>74</v>
      </c>
      <c r="G454" s="4">
        <v>74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</row>
    <row r="455" spans="1:12">
      <c r="A455" s="3" t="s">
        <v>96</v>
      </c>
      <c r="B455" s="4">
        <v>10</v>
      </c>
      <c r="C455" s="4" t="s">
        <v>52</v>
      </c>
      <c r="D455" s="4">
        <v>12</v>
      </c>
      <c r="E455" s="4">
        <v>12</v>
      </c>
      <c r="F455" s="4">
        <v>2</v>
      </c>
      <c r="G455" s="4">
        <v>2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</row>
    <row r="456" spans="1:12">
      <c r="A456" s="3" t="s">
        <v>97</v>
      </c>
      <c r="B456" s="4">
        <v>1</v>
      </c>
      <c r="C456" s="4" t="s">
        <v>31</v>
      </c>
      <c r="D456" s="4">
        <v>6</v>
      </c>
      <c r="E456" s="4">
        <v>6</v>
      </c>
      <c r="F456" s="4">
        <v>8</v>
      </c>
      <c r="G456" s="4">
        <v>8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</row>
    <row r="457" spans="1:12">
      <c r="A457" s="3" t="s">
        <v>97</v>
      </c>
      <c r="B457" s="4">
        <v>1</v>
      </c>
      <c r="C457" s="4" t="s">
        <v>40</v>
      </c>
      <c r="D457" s="4">
        <v>24</v>
      </c>
      <c r="E457" s="4">
        <v>24</v>
      </c>
      <c r="F457" s="4">
        <v>25</v>
      </c>
      <c r="G457" s="4">
        <v>25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</row>
    <row r="458" spans="1:12">
      <c r="A458" s="3" t="s">
        <v>97</v>
      </c>
      <c r="B458" s="4">
        <v>1</v>
      </c>
      <c r="C458" s="4" t="s">
        <v>52</v>
      </c>
      <c r="D458" s="4">
        <v>42</v>
      </c>
      <c r="E458" s="4">
        <v>42</v>
      </c>
      <c r="F458" s="4">
        <v>29</v>
      </c>
      <c r="G458" s="4">
        <v>29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</row>
    <row r="459" spans="1:12">
      <c r="A459" s="3" t="s">
        <v>97</v>
      </c>
      <c r="B459" s="4">
        <v>2</v>
      </c>
      <c r="C459" s="4" t="s">
        <v>31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</row>
    <row r="460" spans="1:12">
      <c r="A460" s="3" t="s">
        <v>97</v>
      </c>
      <c r="B460" s="4">
        <v>2</v>
      </c>
      <c r="C460" s="4" t="s">
        <v>40</v>
      </c>
      <c r="D460" s="4">
        <v>9</v>
      </c>
      <c r="E460" s="4">
        <v>9</v>
      </c>
      <c r="F460" s="4">
        <v>1</v>
      </c>
      <c r="G460" s="4">
        <v>1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</row>
    <row r="461" spans="1:12">
      <c r="A461" s="3" t="s">
        <v>97</v>
      </c>
      <c r="B461" s="4">
        <v>2</v>
      </c>
      <c r="C461" s="4" t="s">
        <v>52</v>
      </c>
      <c r="D461" s="4">
        <v>16</v>
      </c>
      <c r="E461" s="4">
        <v>16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</row>
    <row r="462" spans="1:12">
      <c r="A462" s="3" t="s">
        <v>97</v>
      </c>
      <c r="B462" s="4">
        <v>3</v>
      </c>
      <c r="C462" s="4" t="s">
        <v>31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</row>
    <row r="463" spans="1:12">
      <c r="A463" s="3" t="s">
        <v>97</v>
      </c>
      <c r="B463" s="4">
        <v>3</v>
      </c>
      <c r="C463" s="4" t="s">
        <v>40</v>
      </c>
      <c r="D463" s="4">
        <v>11</v>
      </c>
      <c r="E463" s="4">
        <v>11</v>
      </c>
      <c r="F463" s="4">
        <v>1</v>
      </c>
      <c r="G463" s="4">
        <v>1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</row>
    <row r="464" spans="1:12">
      <c r="A464" s="3" t="s">
        <v>97</v>
      </c>
      <c r="B464" s="4">
        <v>3</v>
      </c>
      <c r="C464" s="4" t="s">
        <v>52</v>
      </c>
      <c r="D464" s="4">
        <v>3</v>
      </c>
      <c r="E464" s="4">
        <v>3</v>
      </c>
      <c r="F464" s="4">
        <v>1</v>
      </c>
      <c r="G464" s="4">
        <v>1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</row>
    <row r="465" spans="1:12">
      <c r="A465" s="3" t="s">
        <v>97</v>
      </c>
      <c r="B465" s="4">
        <v>4</v>
      </c>
      <c r="C465" s="4" t="s">
        <v>31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</row>
    <row r="466" spans="1:12">
      <c r="A466" s="3" t="s">
        <v>97</v>
      </c>
      <c r="B466" s="4">
        <v>4</v>
      </c>
      <c r="C466" s="4" t="s">
        <v>40</v>
      </c>
      <c r="D466" s="4">
        <v>2</v>
      </c>
      <c r="E466" s="4">
        <v>2</v>
      </c>
      <c r="F466" s="4">
        <v>1</v>
      </c>
      <c r="G466" s="4">
        <v>1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</row>
    <row r="467" spans="1:12">
      <c r="A467" s="3" t="s">
        <v>97</v>
      </c>
      <c r="B467" s="4">
        <v>4</v>
      </c>
      <c r="C467" s="4" t="s">
        <v>52</v>
      </c>
      <c r="D467" s="4">
        <v>5</v>
      </c>
      <c r="E467" s="4">
        <v>5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</row>
    <row r="468" spans="1:12">
      <c r="A468" s="3" t="s">
        <v>97</v>
      </c>
      <c r="B468" s="4">
        <v>5</v>
      </c>
      <c r="C468" s="4" t="s">
        <v>31</v>
      </c>
      <c r="D468" s="4">
        <v>6</v>
      </c>
      <c r="E468" s="4">
        <v>6</v>
      </c>
      <c r="F468" s="4">
        <v>2</v>
      </c>
      <c r="G468" s="4">
        <v>2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</row>
    <row r="469" spans="1:12">
      <c r="A469" s="3" t="s">
        <v>97</v>
      </c>
      <c r="B469" s="4">
        <v>5</v>
      </c>
      <c r="C469" s="4" t="s">
        <v>40</v>
      </c>
      <c r="D469" s="4">
        <v>30</v>
      </c>
      <c r="E469" s="4">
        <v>30</v>
      </c>
      <c r="F469" s="4">
        <v>23</v>
      </c>
      <c r="G469" s="4">
        <v>23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</row>
    <row r="470" spans="1:12">
      <c r="A470" s="3" t="s">
        <v>97</v>
      </c>
      <c r="B470" s="4">
        <v>5</v>
      </c>
      <c r="C470" s="4" t="s">
        <v>52</v>
      </c>
      <c r="D470" s="4">
        <v>60</v>
      </c>
      <c r="E470" s="4">
        <v>60</v>
      </c>
      <c r="F470" s="4">
        <v>35</v>
      </c>
      <c r="G470" s="4">
        <v>35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</row>
    <row r="471" spans="1:12">
      <c r="A471" s="3" t="s">
        <v>97</v>
      </c>
      <c r="B471" s="4">
        <v>6</v>
      </c>
      <c r="C471" s="4" t="s">
        <v>31</v>
      </c>
      <c r="D471" s="4">
        <v>2</v>
      </c>
      <c r="E471" s="4">
        <v>2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</row>
    <row r="472" spans="1:12">
      <c r="A472" s="3" t="s">
        <v>97</v>
      </c>
      <c r="B472" s="4">
        <v>6</v>
      </c>
      <c r="C472" s="4" t="s">
        <v>40</v>
      </c>
      <c r="D472" s="4">
        <v>16</v>
      </c>
      <c r="E472" s="4">
        <v>16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</row>
    <row r="473" spans="1:12">
      <c r="A473" s="3" t="s">
        <v>97</v>
      </c>
      <c r="B473" s="4">
        <v>6</v>
      </c>
      <c r="C473" s="4" t="s">
        <v>52</v>
      </c>
      <c r="D473" s="4">
        <v>28</v>
      </c>
      <c r="E473" s="4">
        <v>28</v>
      </c>
      <c r="F473" s="4">
        <v>2</v>
      </c>
      <c r="G473" s="4">
        <v>2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</row>
    <row r="474" spans="1:12">
      <c r="A474" s="3" t="s">
        <v>97</v>
      </c>
      <c r="B474" s="4">
        <v>7</v>
      </c>
      <c r="C474" s="4" t="s">
        <v>31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</row>
    <row r="475" spans="1:12">
      <c r="A475" s="3" t="s">
        <v>97</v>
      </c>
      <c r="B475" s="4">
        <v>7</v>
      </c>
      <c r="C475" s="4" t="s">
        <v>40</v>
      </c>
      <c r="D475" s="4">
        <v>15</v>
      </c>
      <c r="E475" s="4">
        <v>15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</row>
    <row r="476" spans="1:12">
      <c r="A476" s="3" t="s">
        <v>97</v>
      </c>
      <c r="B476" s="4">
        <v>7</v>
      </c>
      <c r="C476" s="4" t="s">
        <v>52</v>
      </c>
      <c r="D476" s="4">
        <v>3</v>
      </c>
      <c r="E476" s="4">
        <v>3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</row>
    <row r="477" spans="1:12">
      <c r="A477" s="3" t="s">
        <v>97</v>
      </c>
      <c r="B477" s="4">
        <v>8</v>
      </c>
      <c r="C477" s="4" t="s">
        <v>31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</row>
    <row r="478" spans="1:12">
      <c r="A478" s="3" t="s">
        <v>97</v>
      </c>
      <c r="B478" s="4">
        <v>8</v>
      </c>
      <c r="C478" s="4" t="s">
        <v>40</v>
      </c>
      <c r="D478" s="4">
        <v>16</v>
      </c>
      <c r="E478" s="4">
        <v>16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</row>
    <row r="479" spans="1:12">
      <c r="A479" s="3" t="s">
        <v>97</v>
      </c>
      <c r="B479" s="4">
        <v>8</v>
      </c>
      <c r="C479" s="4" t="s">
        <v>52</v>
      </c>
      <c r="D479" s="4">
        <v>27</v>
      </c>
      <c r="E479" s="4">
        <v>27</v>
      </c>
      <c r="F479" s="4">
        <v>3</v>
      </c>
      <c r="G479" s="4">
        <v>3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</row>
    <row r="480" spans="1:12">
      <c r="A480" s="3" t="s">
        <v>97</v>
      </c>
      <c r="B480" s="4">
        <v>9</v>
      </c>
      <c r="C480" s="4" t="s">
        <v>40</v>
      </c>
      <c r="D480" s="4">
        <v>30</v>
      </c>
      <c r="E480" s="4">
        <v>30</v>
      </c>
      <c r="F480" s="4">
        <v>9</v>
      </c>
      <c r="G480" s="4">
        <v>9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</row>
    <row r="481" spans="1:12">
      <c r="A481" s="3" t="s">
        <v>97</v>
      </c>
      <c r="B481" s="4">
        <v>9</v>
      </c>
      <c r="C481" s="4" t="s">
        <v>52</v>
      </c>
      <c r="D481" s="4">
        <v>60</v>
      </c>
      <c r="E481" s="4">
        <v>60</v>
      </c>
      <c r="F481" s="4">
        <v>39</v>
      </c>
      <c r="G481" s="4">
        <v>39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</row>
    <row r="482" spans="1:12">
      <c r="A482" s="3" t="s">
        <v>97</v>
      </c>
      <c r="B482" s="4">
        <v>10</v>
      </c>
      <c r="C482" s="4" t="s">
        <v>31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</row>
    <row r="483" spans="1:12">
      <c r="A483" s="3" t="s">
        <v>97</v>
      </c>
      <c r="B483" s="4">
        <v>10</v>
      </c>
      <c r="C483" s="4" t="s">
        <v>40</v>
      </c>
      <c r="D483" s="4">
        <v>20</v>
      </c>
      <c r="E483" s="4">
        <v>20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</row>
    <row r="484" spans="1:12">
      <c r="A484" s="3" t="s">
        <v>97</v>
      </c>
      <c r="B484" s="4">
        <v>10</v>
      </c>
      <c r="C484" s="4" t="s">
        <v>52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</row>
    <row r="485" spans="1:12">
      <c r="A485" s="3" t="s">
        <v>98</v>
      </c>
      <c r="B485" s="4">
        <v>1</v>
      </c>
      <c r="C485" s="4" t="s">
        <v>31</v>
      </c>
      <c r="D485" s="4">
        <v>216</v>
      </c>
      <c r="E485" s="4">
        <v>216</v>
      </c>
      <c r="F485" s="4">
        <v>280</v>
      </c>
      <c r="G485" s="4">
        <v>280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</row>
    <row r="486" spans="1:12">
      <c r="A486" s="3" t="s">
        <v>98</v>
      </c>
      <c r="B486" s="4">
        <v>2</v>
      </c>
      <c r="C486" s="4" t="s">
        <v>31</v>
      </c>
      <c r="D486" s="4">
        <v>0</v>
      </c>
      <c r="E486" s="4">
        <v>0</v>
      </c>
      <c r="F486" s="4">
        <v>6</v>
      </c>
      <c r="G486" s="4">
        <v>6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</row>
    <row r="487" spans="1:12">
      <c r="A487" s="3" t="s">
        <v>98</v>
      </c>
      <c r="B487" s="4">
        <v>3</v>
      </c>
      <c r="C487" s="4" t="s">
        <v>31</v>
      </c>
      <c r="D487" s="4">
        <v>0</v>
      </c>
      <c r="E487" s="4">
        <v>0</v>
      </c>
      <c r="F487" s="4">
        <v>5</v>
      </c>
      <c r="G487" s="4">
        <v>5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</row>
    <row r="488" spans="1:12">
      <c r="A488" s="3" t="s">
        <v>98</v>
      </c>
      <c r="B488" s="4">
        <v>4</v>
      </c>
      <c r="C488" s="4" t="s">
        <v>31</v>
      </c>
      <c r="D488" s="4">
        <v>0</v>
      </c>
      <c r="E488" s="4">
        <v>0</v>
      </c>
      <c r="F488" s="4">
        <v>10</v>
      </c>
      <c r="G488" s="4">
        <v>10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</row>
    <row r="489" spans="1:12">
      <c r="A489" s="3" t="s">
        <v>98</v>
      </c>
      <c r="B489" s="4">
        <v>5</v>
      </c>
      <c r="C489" s="4" t="s">
        <v>31</v>
      </c>
      <c r="D489" s="4">
        <v>150</v>
      </c>
      <c r="E489" s="4">
        <v>150</v>
      </c>
      <c r="F489" s="4">
        <v>197</v>
      </c>
      <c r="G489" s="4">
        <v>197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</row>
    <row r="490" spans="1:12">
      <c r="A490" s="3" t="s">
        <v>98</v>
      </c>
      <c r="B490" s="4">
        <v>6</v>
      </c>
      <c r="C490" s="4" t="s">
        <v>31</v>
      </c>
      <c r="D490" s="4">
        <v>10</v>
      </c>
      <c r="E490" s="4">
        <v>10</v>
      </c>
      <c r="F490" s="4">
        <v>5</v>
      </c>
      <c r="G490" s="4">
        <v>5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</row>
    <row r="491" spans="1:12">
      <c r="A491" s="3" t="s">
        <v>98</v>
      </c>
      <c r="B491" s="4">
        <v>7</v>
      </c>
      <c r="C491" s="4" t="s">
        <v>31</v>
      </c>
      <c r="D491" s="4">
        <v>23</v>
      </c>
      <c r="E491" s="4">
        <v>23</v>
      </c>
      <c r="F491" s="4">
        <v>6</v>
      </c>
      <c r="G491" s="4">
        <v>6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</row>
    <row r="492" spans="1:12">
      <c r="A492" s="3" t="s">
        <v>98</v>
      </c>
      <c r="B492" s="4">
        <v>8</v>
      </c>
      <c r="C492" s="4" t="s">
        <v>31</v>
      </c>
      <c r="D492" s="4">
        <v>2</v>
      </c>
      <c r="E492" s="4">
        <v>2</v>
      </c>
      <c r="F492" s="4">
        <v>7</v>
      </c>
      <c r="G492" s="4">
        <v>7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</row>
    <row r="493" spans="1:12">
      <c r="A493" s="3" t="s">
        <v>99</v>
      </c>
      <c r="B493" s="4">
        <v>9</v>
      </c>
      <c r="C493" s="4" t="s">
        <v>31</v>
      </c>
      <c r="D493" s="4">
        <v>270</v>
      </c>
      <c r="E493" s="4">
        <v>270</v>
      </c>
      <c r="F493" s="4">
        <v>216</v>
      </c>
      <c r="G493" s="4">
        <v>216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</row>
    <row r="494" spans="1:12">
      <c r="A494" s="3" t="s">
        <v>99</v>
      </c>
      <c r="B494" s="4">
        <v>10</v>
      </c>
      <c r="C494" s="4" t="s">
        <v>31</v>
      </c>
      <c r="D494" s="4">
        <v>5</v>
      </c>
      <c r="E494" s="4">
        <v>5</v>
      </c>
      <c r="F494" s="4">
        <v>4</v>
      </c>
      <c r="G494" s="4">
        <v>4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</row>
    <row r="495" spans="1:12">
      <c r="A495" s="3" t="s">
        <v>99</v>
      </c>
      <c r="B495" s="4">
        <v>11</v>
      </c>
      <c r="C495" s="4" t="s">
        <v>31</v>
      </c>
      <c r="D495" s="4">
        <v>210</v>
      </c>
      <c r="E495" s="4">
        <v>210</v>
      </c>
      <c r="F495" s="4">
        <v>38</v>
      </c>
      <c r="G495" s="4">
        <v>38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</row>
    <row r="496" spans="1:12">
      <c r="A496" s="3" t="s">
        <v>99</v>
      </c>
      <c r="B496" s="4">
        <v>12</v>
      </c>
      <c r="C496" s="4" t="s">
        <v>31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</row>
    <row r="497" spans="1:12">
      <c r="A497" s="3" t="s">
        <v>100</v>
      </c>
      <c r="B497" s="4">
        <v>1</v>
      </c>
      <c r="C497" s="4" t="s">
        <v>31</v>
      </c>
      <c r="D497" s="4">
        <v>18</v>
      </c>
      <c r="E497" s="4">
        <v>18</v>
      </c>
      <c r="F497" s="4">
        <v>5</v>
      </c>
      <c r="G497" s="4">
        <v>5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</row>
    <row r="498" spans="1:12">
      <c r="A498" s="3" t="s">
        <v>100</v>
      </c>
      <c r="B498" s="4">
        <v>2</v>
      </c>
      <c r="C498" s="4" t="s">
        <v>31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</row>
    <row r="499" spans="1:12">
      <c r="A499" s="3" t="s">
        <v>100</v>
      </c>
      <c r="B499" s="4">
        <v>4</v>
      </c>
      <c r="C499" s="4" t="s">
        <v>31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</row>
    <row r="500" spans="1:12">
      <c r="A500" s="3" t="s">
        <v>100</v>
      </c>
      <c r="B500" s="4">
        <v>5</v>
      </c>
      <c r="C500" s="4" t="s">
        <v>31</v>
      </c>
      <c r="D500" s="4">
        <v>6</v>
      </c>
      <c r="E500" s="4">
        <v>6</v>
      </c>
      <c r="F500" s="4">
        <v>3</v>
      </c>
      <c r="G500" s="4">
        <v>3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</row>
    <row r="501" spans="1:12">
      <c r="A501" s="3" t="s">
        <v>100</v>
      </c>
      <c r="B501" s="4">
        <v>7</v>
      </c>
      <c r="C501" s="4" t="s">
        <v>31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</row>
    <row r="502" spans="1:12">
      <c r="A502" s="3" t="s">
        <v>100</v>
      </c>
      <c r="B502" s="4">
        <v>8</v>
      </c>
      <c r="C502" s="4" t="s">
        <v>31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</row>
    <row r="503" spans="1:12">
      <c r="A503" s="3" t="s">
        <v>101</v>
      </c>
      <c r="B503" s="4">
        <v>1</v>
      </c>
      <c r="C503" s="4" t="s">
        <v>31</v>
      </c>
      <c r="D503" s="4">
        <v>72</v>
      </c>
      <c r="E503" s="4">
        <v>72</v>
      </c>
      <c r="F503" s="4">
        <v>105</v>
      </c>
      <c r="G503" s="4">
        <v>105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</row>
    <row r="504" spans="1:12">
      <c r="A504" s="3" t="s">
        <v>101</v>
      </c>
      <c r="B504" s="4">
        <v>2</v>
      </c>
      <c r="C504" s="4" t="s">
        <v>31</v>
      </c>
      <c r="D504" s="4">
        <v>19</v>
      </c>
      <c r="E504" s="4">
        <v>19</v>
      </c>
      <c r="F504" s="4">
        <v>1</v>
      </c>
      <c r="G504" s="4">
        <v>1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</row>
    <row r="505" spans="1:12">
      <c r="A505" s="3" t="s">
        <v>101</v>
      </c>
      <c r="B505" s="4">
        <v>3</v>
      </c>
      <c r="C505" s="4" t="s">
        <v>31</v>
      </c>
      <c r="D505" s="4">
        <v>3</v>
      </c>
      <c r="E505" s="4">
        <v>3</v>
      </c>
      <c r="F505" s="4">
        <v>1</v>
      </c>
      <c r="G505" s="4">
        <v>1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</row>
    <row r="506" spans="1:12">
      <c r="A506" s="3" t="s">
        <v>101</v>
      </c>
      <c r="B506" s="4">
        <v>4</v>
      </c>
      <c r="C506" s="4" t="s">
        <v>31</v>
      </c>
      <c r="D506" s="4">
        <v>2</v>
      </c>
      <c r="E506" s="4">
        <v>2</v>
      </c>
      <c r="F506" s="4">
        <v>1</v>
      </c>
      <c r="G506" s="4">
        <v>1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</row>
    <row r="507" spans="1:12">
      <c r="A507" s="3" t="s">
        <v>101</v>
      </c>
      <c r="B507" s="4">
        <v>5</v>
      </c>
      <c r="C507" s="4" t="s">
        <v>31</v>
      </c>
      <c r="D507" s="4">
        <v>60</v>
      </c>
      <c r="E507" s="4">
        <v>60</v>
      </c>
      <c r="F507" s="4">
        <v>32</v>
      </c>
      <c r="G507" s="4">
        <v>32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</row>
    <row r="508" spans="1:12">
      <c r="A508" s="3" t="s">
        <v>101</v>
      </c>
      <c r="B508" s="4">
        <v>6</v>
      </c>
      <c r="C508" s="4" t="s">
        <v>31</v>
      </c>
      <c r="D508" s="4">
        <v>15</v>
      </c>
      <c r="E508" s="4">
        <v>15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</row>
    <row r="509" spans="1:12">
      <c r="A509" s="3" t="s">
        <v>101</v>
      </c>
      <c r="B509" s="4">
        <v>7</v>
      </c>
      <c r="C509" s="4" t="s">
        <v>31</v>
      </c>
      <c r="D509" s="4">
        <v>20</v>
      </c>
      <c r="E509" s="4">
        <v>20</v>
      </c>
      <c r="F509" s="4">
        <v>1</v>
      </c>
      <c r="G509" s="4">
        <v>1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</row>
    <row r="510" spans="1:12">
      <c r="A510" s="3" t="s">
        <v>101</v>
      </c>
      <c r="B510" s="4">
        <v>8</v>
      </c>
      <c r="C510" s="4" t="s">
        <v>31</v>
      </c>
      <c r="D510" s="4">
        <v>7</v>
      </c>
      <c r="E510" s="4">
        <v>7</v>
      </c>
      <c r="F510" s="4">
        <v>1</v>
      </c>
      <c r="G510" s="4">
        <v>1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</row>
    <row r="511" spans="1:12">
      <c r="A511" s="3" t="s">
        <v>102</v>
      </c>
      <c r="B511" s="4">
        <v>1</v>
      </c>
      <c r="C511" s="4" t="s">
        <v>40</v>
      </c>
      <c r="D511" s="4">
        <v>48</v>
      </c>
      <c r="E511" s="4">
        <v>48</v>
      </c>
      <c r="F511" s="4">
        <v>29</v>
      </c>
      <c r="G511" s="4">
        <v>29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</row>
    <row r="512" spans="1:12">
      <c r="A512" s="3" t="s">
        <v>102</v>
      </c>
      <c r="B512" s="4">
        <v>2</v>
      </c>
      <c r="C512" s="4" t="s">
        <v>40</v>
      </c>
      <c r="D512" s="4">
        <v>20</v>
      </c>
      <c r="E512" s="4">
        <v>20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</row>
    <row r="513" spans="1:12">
      <c r="A513" s="3" t="s">
        <v>102</v>
      </c>
      <c r="B513" s="4">
        <v>3</v>
      </c>
      <c r="C513" s="4" t="s">
        <v>40</v>
      </c>
      <c r="D513" s="4">
        <v>4</v>
      </c>
      <c r="E513" s="4">
        <v>4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</row>
    <row r="514" spans="1:12">
      <c r="A514" s="3" t="s">
        <v>102</v>
      </c>
      <c r="B514" s="4">
        <v>5</v>
      </c>
      <c r="C514" s="4" t="s">
        <v>40</v>
      </c>
      <c r="D514" s="4">
        <v>90</v>
      </c>
      <c r="E514" s="4">
        <v>90</v>
      </c>
      <c r="F514" s="4">
        <v>38</v>
      </c>
      <c r="G514" s="4">
        <v>38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</row>
    <row r="515" spans="1:12">
      <c r="A515" s="3" t="s">
        <v>102</v>
      </c>
      <c r="B515" s="4">
        <v>6</v>
      </c>
      <c r="C515" s="4" t="s">
        <v>40</v>
      </c>
      <c r="D515" s="4">
        <v>32</v>
      </c>
      <c r="E515" s="4">
        <v>32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</row>
    <row r="516" spans="1:12">
      <c r="A516" s="3" t="s">
        <v>102</v>
      </c>
      <c r="B516" s="4">
        <v>7</v>
      </c>
      <c r="C516" s="4" t="s">
        <v>40</v>
      </c>
      <c r="D516" s="4">
        <v>22</v>
      </c>
      <c r="E516" s="4">
        <v>22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</row>
    <row r="517" spans="1:12">
      <c r="A517" s="3" t="s">
        <v>102</v>
      </c>
      <c r="B517" s="4">
        <v>8</v>
      </c>
      <c r="C517" s="4" t="s">
        <v>40</v>
      </c>
      <c r="D517" s="4">
        <v>56</v>
      </c>
      <c r="E517" s="4">
        <v>56</v>
      </c>
      <c r="F517" s="4">
        <v>1</v>
      </c>
      <c r="G517" s="4">
        <v>1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</row>
    <row r="518" spans="1:12">
      <c r="A518" s="3" t="s">
        <v>102</v>
      </c>
      <c r="B518" s="4">
        <v>9</v>
      </c>
      <c r="C518" s="4" t="s">
        <v>40</v>
      </c>
      <c r="D518" s="4">
        <v>90</v>
      </c>
      <c r="E518" s="4">
        <v>90</v>
      </c>
      <c r="F518" s="4">
        <v>31</v>
      </c>
      <c r="G518" s="4">
        <v>31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</row>
    <row r="519" spans="1:12">
      <c r="A519" s="3" t="s">
        <v>102</v>
      </c>
      <c r="B519" s="4">
        <v>10</v>
      </c>
      <c r="C519" s="4" t="s">
        <v>40</v>
      </c>
      <c r="D519" s="4">
        <v>22</v>
      </c>
      <c r="E519" s="4">
        <v>22</v>
      </c>
      <c r="F519" s="4">
        <v>1</v>
      </c>
      <c r="G519" s="4">
        <v>1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</row>
    <row r="520" spans="1:12">
      <c r="A520" s="3" t="s">
        <v>102</v>
      </c>
      <c r="B520" s="4">
        <v>11</v>
      </c>
      <c r="C520" s="4" t="s">
        <v>40</v>
      </c>
      <c r="D520" s="4">
        <v>120</v>
      </c>
      <c r="E520" s="4">
        <v>120</v>
      </c>
      <c r="F520" s="4">
        <v>12</v>
      </c>
      <c r="G520" s="4">
        <v>12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</row>
    <row r="521" spans="1:12">
      <c r="A521" s="3" t="s">
        <v>102</v>
      </c>
      <c r="B521" s="4">
        <v>12</v>
      </c>
      <c r="C521" s="4" t="s">
        <v>40</v>
      </c>
      <c r="D521" s="4">
        <v>32</v>
      </c>
      <c r="E521" s="4">
        <v>32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</row>
    <row r="522" spans="1:12">
      <c r="A522" s="3" t="s">
        <v>103</v>
      </c>
      <c r="B522" s="4">
        <v>1</v>
      </c>
      <c r="C522" s="4" t="s">
        <v>40</v>
      </c>
      <c r="D522" s="4">
        <v>1</v>
      </c>
      <c r="E522" s="4">
        <v>1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</row>
    <row r="523" spans="1:12">
      <c r="A523" s="3" t="s">
        <v>103</v>
      </c>
      <c r="B523" s="4">
        <v>2</v>
      </c>
      <c r="C523" s="4" t="s">
        <v>40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</row>
    <row r="524" spans="1:12">
      <c r="A524" s="3" t="s">
        <v>103</v>
      </c>
      <c r="B524" s="4">
        <v>3</v>
      </c>
      <c r="C524" s="4" t="s">
        <v>40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</row>
    <row r="525" spans="1:12">
      <c r="A525" s="3" t="s">
        <v>103</v>
      </c>
      <c r="B525" s="4">
        <v>4</v>
      </c>
      <c r="C525" s="4" t="s">
        <v>40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</row>
    <row r="526" spans="1:12">
      <c r="A526" s="3" t="s">
        <v>103</v>
      </c>
      <c r="B526" s="4">
        <v>5</v>
      </c>
      <c r="C526" s="4" t="s">
        <v>40</v>
      </c>
      <c r="D526" s="4">
        <v>0</v>
      </c>
      <c r="E526" s="4">
        <v>0</v>
      </c>
      <c r="F526" s="4">
        <v>3</v>
      </c>
      <c r="G526" s="4">
        <v>3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</row>
    <row r="527" spans="1:12">
      <c r="A527" s="3" t="s">
        <v>103</v>
      </c>
      <c r="B527" s="4">
        <v>6</v>
      </c>
      <c r="C527" s="4" t="s">
        <v>40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</row>
    <row r="528" spans="1:12">
      <c r="A528" s="3" t="s">
        <v>103</v>
      </c>
      <c r="B528" s="4">
        <v>7</v>
      </c>
      <c r="C528" s="4" t="s">
        <v>40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</row>
    <row r="529" spans="1:12">
      <c r="A529" s="3" t="s">
        <v>103</v>
      </c>
      <c r="B529" s="4">
        <v>8</v>
      </c>
      <c r="C529" s="4" t="s">
        <v>40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</row>
    <row r="530" spans="1:12">
      <c r="A530" s="3" t="s">
        <v>104</v>
      </c>
      <c r="B530" s="4">
        <v>1</v>
      </c>
      <c r="C530" s="4" t="s">
        <v>40</v>
      </c>
      <c r="D530" s="4">
        <v>96</v>
      </c>
      <c r="E530" s="4">
        <v>96</v>
      </c>
      <c r="F530" s="4">
        <v>80</v>
      </c>
      <c r="G530" s="4">
        <v>80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</row>
    <row r="531" spans="1:12">
      <c r="A531" s="3" t="s">
        <v>104</v>
      </c>
      <c r="B531" s="4">
        <v>2</v>
      </c>
      <c r="C531" s="4" t="s">
        <v>40</v>
      </c>
      <c r="D531" s="4">
        <v>8</v>
      </c>
      <c r="E531" s="4">
        <v>8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</row>
    <row r="532" spans="1:12">
      <c r="A532" s="3" t="s">
        <v>104</v>
      </c>
      <c r="B532" s="4">
        <v>3</v>
      </c>
      <c r="C532" s="4" t="s">
        <v>40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</row>
    <row r="533" spans="1:12">
      <c r="A533" s="3" t="s">
        <v>104</v>
      </c>
      <c r="B533" s="4">
        <v>4</v>
      </c>
      <c r="C533" s="4" t="s">
        <v>40</v>
      </c>
      <c r="D533" s="4">
        <v>5</v>
      </c>
      <c r="E533" s="4">
        <v>5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</row>
    <row r="534" spans="1:12">
      <c r="A534" s="3" t="s">
        <v>104</v>
      </c>
      <c r="B534" s="4">
        <v>5</v>
      </c>
      <c r="C534" s="4" t="s">
        <v>40</v>
      </c>
      <c r="D534" s="4">
        <v>180</v>
      </c>
      <c r="E534" s="4">
        <v>180</v>
      </c>
      <c r="F534" s="4">
        <v>166</v>
      </c>
      <c r="G534" s="4">
        <v>166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</row>
    <row r="535" spans="1:12">
      <c r="A535" s="3" t="s">
        <v>104</v>
      </c>
      <c r="B535" s="4">
        <v>6</v>
      </c>
      <c r="C535" s="4" t="s">
        <v>40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</row>
    <row r="536" spans="1:12">
      <c r="A536" s="3" t="s">
        <v>104</v>
      </c>
      <c r="B536" s="4">
        <v>7</v>
      </c>
      <c r="C536" s="4" t="s">
        <v>40</v>
      </c>
      <c r="D536" s="4">
        <v>0</v>
      </c>
      <c r="E536" s="4">
        <v>0</v>
      </c>
      <c r="F536" s="4">
        <v>1</v>
      </c>
      <c r="G536" s="4">
        <v>1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</row>
    <row r="537" spans="1:12">
      <c r="A537" s="3" t="s">
        <v>104</v>
      </c>
      <c r="B537" s="4">
        <v>8</v>
      </c>
      <c r="C537" s="4" t="s">
        <v>40</v>
      </c>
      <c r="D537" s="4">
        <v>0</v>
      </c>
      <c r="E537" s="4">
        <v>0</v>
      </c>
      <c r="F537" s="4">
        <v>3</v>
      </c>
      <c r="G537" s="4">
        <v>3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</row>
    <row r="538" spans="1:12">
      <c r="A538" s="3" t="s">
        <v>105</v>
      </c>
      <c r="B538" s="4">
        <v>5</v>
      </c>
      <c r="C538" s="4" t="s">
        <v>31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</row>
    <row r="539" spans="1:12">
      <c r="A539" s="3" t="s">
        <v>105</v>
      </c>
      <c r="B539" s="4">
        <v>6</v>
      </c>
      <c r="C539" s="4" t="s">
        <v>31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</row>
    <row r="540" spans="1:12">
      <c r="A540" s="3" t="s">
        <v>105</v>
      </c>
      <c r="B540" s="4">
        <v>7</v>
      </c>
      <c r="C540" s="4" t="s">
        <v>31</v>
      </c>
      <c r="D540" s="4">
        <v>13</v>
      </c>
      <c r="E540" s="4">
        <v>13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</row>
    <row r="541" spans="1:12">
      <c r="A541" s="3" t="s">
        <v>105</v>
      </c>
      <c r="B541" s="4">
        <v>8</v>
      </c>
      <c r="C541" s="4" t="s">
        <v>31</v>
      </c>
      <c r="D541" s="4">
        <v>13</v>
      </c>
      <c r="E541" s="4">
        <v>13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</row>
    <row r="542" spans="1:12">
      <c r="A542" s="3" t="s">
        <v>105</v>
      </c>
      <c r="B542" s="4">
        <v>9</v>
      </c>
      <c r="C542" s="4" t="s">
        <v>31</v>
      </c>
      <c r="D542" s="4">
        <v>10</v>
      </c>
      <c r="E542" s="4">
        <v>10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</row>
    <row r="543" spans="1:12">
      <c r="A543" s="3" t="s">
        <v>105</v>
      </c>
      <c r="B543" s="4">
        <v>10</v>
      </c>
      <c r="C543" s="4" t="s">
        <v>31</v>
      </c>
      <c r="D543" s="4">
        <v>15</v>
      </c>
      <c r="E543" s="4">
        <v>15</v>
      </c>
      <c r="F543" s="4">
        <v>1</v>
      </c>
      <c r="G543" s="4">
        <v>1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</row>
    <row r="544" spans="1:12">
      <c r="A544" s="3" t="s">
        <v>106</v>
      </c>
      <c r="B544" s="4">
        <v>1</v>
      </c>
      <c r="C544" s="4" t="s">
        <v>31</v>
      </c>
      <c r="D544" s="4">
        <v>120</v>
      </c>
      <c r="E544" s="4">
        <v>120</v>
      </c>
      <c r="F544" s="4">
        <v>160</v>
      </c>
      <c r="G544" s="4">
        <v>160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</row>
    <row r="545" spans="1:12">
      <c r="A545" s="3" t="s">
        <v>106</v>
      </c>
      <c r="B545" s="4">
        <v>2</v>
      </c>
      <c r="C545" s="4" t="s">
        <v>31</v>
      </c>
      <c r="D545" s="4">
        <v>0</v>
      </c>
      <c r="E545" s="4">
        <v>0</v>
      </c>
      <c r="F545" s="4">
        <v>2</v>
      </c>
      <c r="G545" s="4">
        <v>2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</row>
    <row r="546" spans="1:12">
      <c r="A546" s="3" t="s">
        <v>106</v>
      </c>
      <c r="B546" s="4">
        <v>3</v>
      </c>
      <c r="C546" s="4" t="s">
        <v>31</v>
      </c>
      <c r="D546" s="4">
        <v>0</v>
      </c>
      <c r="E546" s="4">
        <v>0</v>
      </c>
      <c r="F546" s="4">
        <v>3</v>
      </c>
      <c r="G546" s="4">
        <v>3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</row>
    <row r="547" spans="1:12">
      <c r="A547" s="3" t="s">
        <v>106</v>
      </c>
      <c r="B547" s="4">
        <v>4</v>
      </c>
      <c r="C547" s="4" t="s">
        <v>31</v>
      </c>
      <c r="D547" s="4">
        <v>0</v>
      </c>
      <c r="E547" s="4">
        <v>0</v>
      </c>
      <c r="F547" s="4">
        <v>6</v>
      </c>
      <c r="G547" s="4">
        <v>6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</row>
    <row r="548" spans="1:12">
      <c r="A548" s="3" t="s">
        <v>106</v>
      </c>
      <c r="B548" s="4">
        <v>5</v>
      </c>
      <c r="C548" s="4" t="s">
        <v>31</v>
      </c>
      <c r="D548" s="4">
        <v>180</v>
      </c>
      <c r="E548" s="4">
        <v>180</v>
      </c>
      <c r="F548" s="4">
        <v>100</v>
      </c>
      <c r="G548" s="4">
        <v>100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</row>
    <row r="549" spans="1:12">
      <c r="A549" s="3" t="s">
        <v>106</v>
      </c>
      <c r="B549" s="4">
        <v>6</v>
      </c>
      <c r="C549" s="4" t="s">
        <v>31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</row>
    <row r="550" spans="1:12">
      <c r="A550" s="3" t="s">
        <v>106</v>
      </c>
      <c r="B550" s="4">
        <v>7</v>
      </c>
      <c r="C550" s="4" t="s">
        <v>31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</row>
    <row r="551" spans="1:12">
      <c r="A551" s="3" t="s">
        <v>106</v>
      </c>
      <c r="B551" s="4">
        <v>8</v>
      </c>
      <c r="C551" s="4" t="s">
        <v>31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</row>
    <row r="552" spans="1:12">
      <c r="A552" s="3" t="s">
        <v>107</v>
      </c>
      <c r="B552" s="4">
        <v>9</v>
      </c>
      <c r="C552" s="4" t="s">
        <v>31</v>
      </c>
      <c r="D552" s="4">
        <v>240</v>
      </c>
      <c r="E552" s="4">
        <v>240</v>
      </c>
      <c r="F552" s="4">
        <v>140</v>
      </c>
      <c r="G552" s="4">
        <v>140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</row>
    <row r="553" spans="1:12">
      <c r="A553" s="3" t="s">
        <v>107</v>
      </c>
      <c r="B553" s="4">
        <v>10</v>
      </c>
      <c r="C553" s="4" t="s">
        <v>31</v>
      </c>
      <c r="D553" s="4">
        <v>0</v>
      </c>
      <c r="E553" s="4">
        <v>0</v>
      </c>
      <c r="F553" s="4">
        <v>3</v>
      </c>
      <c r="G553" s="4">
        <v>3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</row>
    <row r="554" spans="1:12">
      <c r="A554" s="3" t="s">
        <v>107</v>
      </c>
      <c r="B554" s="4">
        <v>11</v>
      </c>
      <c r="C554" s="4" t="s">
        <v>31</v>
      </c>
      <c r="D554" s="4">
        <v>186</v>
      </c>
      <c r="E554" s="4">
        <v>186</v>
      </c>
      <c r="F554" s="4">
        <v>46</v>
      </c>
      <c r="G554" s="4">
        <v>46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</row>
    <row r="555" spans="1:12">
      <c r="A555" s="3" t="s">
        <v>107</v>
      </c>
      <c r="B555" s="4">
        <v>12</v>
      </c>
      <c r="C555" s="4" t="s">
        <v>31</v>
      </c>
      <c r="D555" s="4">
        <v>0</v>
      </c>
      <c r="E555" s="4">
        <v>0</v>
      </c>
      <c r="F555" s="4">
        <v>1</v>
      </c>
      <c r="G555" s="4">
        <v>1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</row>
    <row r="556" spans="1:12">
      <c r="A556" s="3" t="s">
        <v>108</v>
      </c>
      <c r="B556" s="4">
        <v>1</v>
      </c>
      <c r="C556" s="4" t="s">
        <v>40</v>
      </c>
      <c r="D556" s="4">
        <v>24</v>
      </c>
      <c r="E556" s="4">
        <v>24</v>
      </c>
      <c r="F556" s="4">
        <v>18</v>
      </c>
      <c r="G556" s="4">
        <v>18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</row>
    <row r="557" spans="1:12">
      <c r="A557" s="3" t="s">
        <v>108</v>
      </c>
      <c r="B557" s="4">
        <v>1</v>
      </c>
      <c r="C557" s="4" t="s">
        <v>52</v>
      </c>
      <c r="D557" s="4">
        <v>24</v>
      </c>
      <c r="E557" s="4">
        <v>24</v>
      </c>
      <c r="F557" s="4">
        <v>37</v>
      </c>
      <c r="G557" s="4">
        <v>37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</row>
    <row r="558" spans="1:12">
      <c r="A558" s="3" t="s">
        <v>108</v>
      </c>
      <c r="B558" s="4">
        <v>2</v>
      </c>
      <c r="C558" s="4" t="s">
        <v>40</v>
      </c>
      <c r="D558" s="4">
        <v>15</v>
      </c>
      <c r="E558" s="4">
        <v>15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</row>
    <row r="559" spans="1:12">
      <c r="A559" s="3" t="s">
        <v>108</v>
      </c>
      <c r="B559" s="4">
        <v>2</v>
      </c>
      <c r="C559" s="4" t="s">
        <v>52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</row>
    <row r="560" spans="1:12">
      <c r="A560" s="3" t="s">
        <v>108</v>
      </c>
      <c r="B560" s="4">
        <v>3</v>
      </c>
      <c r="C560" s="4" t="s">
        <v>40</v>
      </c>
      <c r="D560" s="4">
        <v>15</v>
      </c>
      <c r="E560" s="4">
        <v>15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</row>
    <row r="561" spans="1:12">
      <c r="A561" s="3" t="s">
        <v>108</v>
      </c>
      <c r="B561" s="4">
        <v>3</v>
      </c>
      <c r="C561" s="4" t="s">
        <v>52</v>
      </c>
      <c r="D561" s="4">
        <v>0</v>
      </c>
      <c r="E561" s="4">
        <v>0</v>
      </c>
      <c r="F561" s="4">
        <v>3</v>
      </c>
      <c r="G561" s="4">
        <v>3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</row>
    <row r="562" spans="1:12">
      <c r="A562" s="3" t="s">
        <v>108</v>
      </c>
      <c r="B562" s="4">
        <v>4</v>
      </c>
      <c r="C562" s="4" t="s">
        <v>40</v>
      </c>
      <c r="D562" s="4">
        <v>18</v>
      </c>
      <c r="E562" s="4">
        <v>18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</row>
    <row r="563" spans="1:12">
      <c r="A563" s="3" t="s">
        <v>108</v>
      </c>
      <c r="B563" s="4">
        <v>4</v>
      </c>
      <c r="C563" s="4" t="s">
        <v>52</v>
      </c>
      <c r="D563" s="4">
        <v>0</v>
      </c>
      <c r="E563" s="4">
        <v>0</v>
      </c>
      <c r="F563" s="4">
        <v>2</v>
      </c>
      <c r="G563" s="4">
        <v>2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</row>
    <row r="564" spans="1:12">
      <c r="A564" s="3" t="s">
        <v>108</v>
      </c>
      <c r="B564" s="4">
        <v>5</v>
      </c>
      <c r="C564" s="4" t="s">
        <v>40</v>
      </c>
      <c r="D564" s="4">
        <v>30</v>
      </c>
      <c r="E564" s="4">
        <v>30</v>
      </c>
      <c r="F564" s="4">
        <v>18</v>
      </c>
      <c r="G564" s="4">
        <v>18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</row>
    <row r="565" spans="1:12">
      <c r="A565" s="3" t="s">
        <v>108</v>
      </c>
      <c r="B565" s="4">
        <v>5</v>
      </c>
      <c r="C565" s="4" t="s">
        <v>52</v>
      </c>
      <c r="D565" s="4">
        <v>60</v>
      </c>
      <c r="E565" s="4">
        <v>60</v>
      </c>
      <c r="F565" s="4">
        <v>55</v>
      </c>
      <c r="G565" s="4">
        <v>55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</row>
    <row r="566" spans="1:12">
      <c r="A566" s="3" t="s">
        <v>108</v>
      </c>
      <c r="B566" s="4">
        <v>6</v>
      </c>
      <c r="C566" s="4" t="s">
        <v>40</v>
      </c>
      <c r="D566" s="4">
        <v>8</v>
      </c>
      <c r="E566" s="4">
        <v>8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</row>
    <row r="567" spans="1:12">
      <c r="A567" s="3" t="s">
        <v>108</v>
      </c>
      <c r="B567" s="4">
        <v>6</v>
      </c>
      <c r="C567" s="4" t="s">
        <v>52</v>
      </c>
      <c r="D567" s="4">
        <v>18</v>
      </c>
      <c r="E567" s="4">
        <v>18</v>
      </c>
      <c r="F567" s="4">
        <v>1</v>
      </c>
      <c r="G567" s="4">
        <v>1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</row>
    <row r="568" spans="1:12">
      <c r="A568" s="3" t="s">
        <v>108</v>
      </c>
      <c r="B568" s="4">
        <v>7</v>
      </c>
      <c r="C568" s="4" t="s">
        <v>40</v>
      </c>
      <c r="D568" s="4">
        <v>13</v>
      </c>
      <c r="E568" s="4">
        <v>13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</row>
    <row r="569" spans="1:12">
      <c r="A569" s="3" t="s">
        <v>108</v>
      </c>
      <c r="B569" s="4">
        <v>7</v>
      </c>
      <c r="C569" s="4" t="s">
        <v>52</v>
      </c>
      <c r="D569" s="4">
        <v>0</v>
      </c>
      <c r="E569" s="4">
        <v>0</v>
      </c>
      <c r="F569" s="4">
        <v>1</v>
      </c>
      <c r="G569" s="4">
        <v>1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</row>
    <row r="570" spans="1:12">
      <c r="A570" s="3" t="s">
        <v>108</v>
      </c>
      <c r="B570" s="4">
        <v>8</v>
      </c>
      <c r="C570" s="4" t="s">
        <v>40</v>
      </c>
      <c r="D570" s="4">
        <v>8</v>
      </c>
      <c r="E570" s="4">
        <v>8</v>
      </c>
      <c r="F570" s="4">
        <v>2</v>
      </c>
      <c r="G570" s="4">
        <v>2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</row>
    <row r="571" spans="1:12">
      <c r="A571" s="3" t="s">
        <v>108</v>
      </c>
      <c r="B571" s="4">
        <v>8</v>
      </c>
      <c r="C571" s="4" t="s">
        <v>52</v>
      </c>
      <c r="D571" s="4">
        <v>2</v>
      </c>
      <c r="E571" s="4">
        <v>2</v>
      </c>
      <c r="F571" s="4">
        <v>3</v>
      </c>
      <c r="G571" s="4">
        <v>3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</row>
    <row r="572" spans="1:12">
      <c r="A572" s="3" t="s">
        <v>108</v>
      </c>
      <c r="B572" s="4">
        <v>9</v>
      </c>
      <c r="C572" s="4" t="s">
        <v>40</v>
      </c>
      <c r="D572" s="4">
        <v>30</v>
      </c>
      <c r="E572" s="4">
        <v>30</v>
      </c>
      <c r="F572" s="4">
        <v>18</v>
      </c>
      <c r="G572" s="4">
        <v>18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</row>
    <row r="573" spans="1:12">
      <c r="A573" s="3" t="s">
        <v>108</v>
      </c>
      <c r="B573" s="4">
        <v>9</v>
      </c>
      <c r="C573" s="4" t="s">
        <v>52</v>
      </c>
      <c r="D573" s="4">
        <v>30</v>
      </c>
      <c r="E573" s="4">
        <v>30</v>
      </c>
      <c r="F573" s="4">
        <v>18</v>
      </c>
      <c r="G573" s="4">
        <v>18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</row>
    <row r="574" spans="1:12">
      <c r="A574" s="3" t="s">
        <v>108</v>
      </c>
      <c r="B574" s="4">
        <v>10</v>
      </c>
      <c r="C574" s="4" t="s">
        <v>40</v>
      </c>
      <c r="D574" s="4">
        <v>4</v>
      </c>
      <c r="E574" s="4">
        <v>4</v>
      </c>
      <c r="F574" s="4">
        <v>1</v>
      </c>
      <c r="G574" s="4">
        <v>1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</row>
    <row r="575" spans="1:12">
      <c r="A575" s="3" t="s">
        <v>108</v>
      </c>
      <c r="B575" s="4">
        <v>10</v>
      </c>
      <c r="C575" s="4" t="s">
        <v>52</v>
      </c>
      <c r="D575" s="4">
        <v>2</v>
      </c>
      <c r="E575" s="4">
        <v>2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</row>
    <row r="576" spans="1:12">
      <c r="A576" s="3" t="s">
        <v>108</v>
      </c>
      <c r="B576" s="4">
        <v>11</v>
      </c>
      <c r="C576" s="4" t="s">
        <v>40</v>
      </c>
      <c r="D576" s="4">
        <v>30</v>
      </c>
      <c r="E576" s="4">
        <v>30</v>
      </c>
      <c r="F576" s="4">
        <v>17</v>
      </c>
      <c r="G576" s="4">
        <v>17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</row>
    <row r="577" spans="1:12">
      <c r="A577" s="3" t="s">
        <v>108</v>
      </c>
      <c r="B577" s="4">
        <v>11</v>
      </c>
      <c r="C577" s="4" t="s">
        <v>52</v>
      </c>
      <c r="D577" s="4">
        <v>30</v>
      </c>
      <c r="E577" s="4">
        <v>30</v>
      </c>
      <c r="F577" s="4">
        <v>24</v>
      </c>
      <c r="G577" s="4">
        <v>24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</row>
    <row r="578" spans="1:12">
      <c r="A578" s="3" t="s">
        <v>108</v>
      </c>
      <c r="B578" s="4">
        <v>12</v>
      </c>
      <c r="C578" s="4" t="s">
        <v>40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</row>
    <row r="579" spans="1:12">
      <c r="A579" s="3" t="s">
        <v>108</v>
      </c>
      <c r="B579" s="4">
        <v>12</v>
      </c>
      <c r="C579" s="4" t="s">
        <v>52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</row>
    <row r="580" spans="1:12">
      <c r="A580" s="3" t="s">
        <v>109</v>
      </c>
      <c r="B580" s="4">
        <v>1</v>
      </c>
      <c r="C580" s="4" t="s">
        <v>31</v>
      </c>
      <c r="D580" s="4">
        <v>96</v>
      </c>
      <c r="E580" s="4">
        <v>96</v>
      </c>
      <c r="F580" s="4">
        <v>133</v>
      </c>
      <c r="G580" s="4">
        <v>133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</row>
    <row r="581" spans="1:12">
      <c r="A581" s="3" t="s">
        <v>109</v>
      </c>
      <c r="B581" s="4">
        <v>2</v>
      </c>
      <c r="C581" s="4" t="s">
        <v>31</v>
      </c>
      <c r="D581" s="4">
        <v>4</v>
      </c>
      <c r="E581" s="4">
        <v>4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</row>
    <row r="582" spans="1:12">
      <c r="A582" s="3" t="s">
        <v>109</v>
      </c>
      <c r="B582" s="4">
        <v>3</v>
      </c>
      <c r="C582" s="4" t="s">
        <v>31</v>
      </c>
      <c r="D582" s="4">
        <v>3</v>
      </c>
      <c r="E582" s="4">
        <v>3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</row>
    <row r="583" spans="1:12">
      <c r="A583" s="3" t="s">
        <v>109</v>
      </c>
      <c r="B583" s="4">
        <v>4</v>
      </c>
      <c r="C583" s="4" t="s">
        <v>31</v>
      </c>
      <c r="D583" s="4">
        <v>0</v>
      </c>
      <c r="E583" s="4">
        <v>0</v>
      </c>
      <c r="F583" s="4">
        <v>1</v>
      </c>
      <c r="G583" s="4">
        <v>1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</row>
    <row r="584" spans="1:12">
      <c r="A584" s="3" t="s">
        <v>109</v>
      </c>
      <c r="B584" s="4">
        <v>5</v>
      </c>
      <c r="C584" s="4" t="s">
        <v>31</v>
      </c>
      <c r="D584" s="4">
        <v>17</v>
      </c>
      <c r="E584" s="4">
        <v>17</v>
      </c>
      <c r="F584" s="4">
        <v>60</v>
      </c>
      <c r="G584" s="4">
        <v>60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</row>
    <row r="585" spans="1:12">
      <c r="A585" s="3" t="s">
        <v>109</v>
      </c>
      <c r="B585" s="4">
        <v>6</v>
      </c>
      <c r="C585" s="4" t="s">
        <v>31</v>
      </c>
      <c r="D585" s="4">
        <v>7</v>
      </c>
      <c r="E585" s="4">
        <v>7</v>
      </c>
      <c r="F585" s="4">
        <v>1</v>
      </c>
      <c r="G585" s="4">
        <v>1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</row>
    <row r="586" spans="1:12">
      <c r="A586" s="3" t="s">
        <v>109</v>
      </c>
      <c r="B586" s="4">
        <v>7</v>
      </c>
      <c r="C586" s="4" t="s">
        <v>31</v>
      </c>
      <c r="D586" s="4">
        <v>12</v>
      </c>
      <c r="E586" s="4">
        <v>12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</row>
    <row r="587" spans="1:12">
      <c r="A587" s="3" t="s">
        <v>109</v>
      </c>
      <c r="B587" s="4">
        <v>8</v>
      </c>
      <c r="C587" s="4" t="s">
        <v>31</v>
      </c>
      <c r="D587" s="4">
        <v>3</v>
      </c>
      <c r="E587" s="4">
        <v>3</v>
      </c>
      <c r="F587" s="4">
        <v>2</v>
      </c>
      <c r="G587" s="4">
        <v>2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</row>
    <row r="588" spans="1:12">
      <c r="A588" s="3" t="s">
        <v>110</v>
      </c>
      <c r="B588" s="4">
        <v>1</v>
      </c>
      <c r="C588" s="4" t="s">
        <v>31</v>
      </c>
      <c r="D588" s="4">
        <v>96</v>
      </c>
      <c r="E588" s="4">
        <v>96</v>
      </c>
      <c r="F588" s="4">
        <v>211</v>
      </c>
      <c r="G588" s="4">
        <v>211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</row>
    <row r="589" spans="1:12">
      <c r="A589" s="3" t="s">
        <v>110</v>
      </c>
      <c r="B589" s="4">
        <v>5</v>
      </c>
      <c r="C589" s="4" t="s">
        <v>31</v>
      </c>
      <c r="D589" s="4">
        <v>150</v>
      </c>
      <c r="E589" s="4">
        <v>150</v>
      </c>
      <c r="F589" s="4">
        <v>192</v>
      </c>
      <c r="G589" s="4">
        <v>192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</row>
    <row r="590" spans="1:12">
      <c r="A590" s="3" t="s">
        <v>110</v>
      </c>
      <c r="B590" s="4">
        <v>8</v>
      </c>
      <c r="C590" s="4" t="s">
        <v>31</v>
      </c>
      <c r="D590" s="4">
        <v>8</v>
      </c>
      <c r="E590" s="4">
        <v>8</v>
      </c>
      <c r="F590" s="4">
        <v>9</v>
      </c>
      <c r="G590" s="4">
        <v>9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</row>
    <row r="591" spans="1:12">
      <c r="A591" s="3" t="s">
        <v>110</v>
      </c>
      <c r="B591" s="4">
        <v>9</v>
      </c>
      <c r="C591" s="4" t="s">
        <v>31</v>
      </c>
      <c r="D591" s="4">
        <v>90</v>
      </c>
      <c r="E591" s="4">
        <v>90</v>
      </c>
      <c r="F591" s="4">
        <v>119</v>
      </c>
      <c r="G591" s="4">
        <v>119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</row>
    <row r="592" spans="1:12">
      <c r="A592" s="3" t="s">
        <v>110</v>
      </c>
      <c r="B592" s="4">
        <v>11</v>
      </c>
      <c r="C592" s="4" t="s">
        <v>31</v>
      </c>
      <c r="D592" s="4">
        <v>84</v>
      </c>
      <c r="E592" s="4">
        <v>84</v>
      </c>
      <c r="F592" s="4">
        <v>22</v>
      </c>
      <c r="G592" s="4">
        <v>22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</row>
    <row r="593" spans="1:12">
      <c r="A593" s="3" t="s">
        <v>111</v>
      </c>
      <c r="B593" s="4">
        <v>1</v>
      </c>
      <c r="C593" s="4" t="s">
        <v>31</v>
      </c>
      <c r="D593" s="4">
        <v>96</v>
      </c>
      <c r="E593" s="4">
        <v>96</v>
      </c>
      <c r="F593" s="4">
        <v>66</v>
      </c>
      <c r="G593" s="4">
        <v>66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</row>
    <row r="594" spans="1:12">
      <c r="A594" s="3" t="s">
        <v>111</v>
      </c>
      <c r="B594" s="4">
        <v>2</v>
      </c>
      <c r="C594" s="4" t="s">
        <v>31</v>
      </c>
      <c r="D594" s="4">
        <v>9</v>
      </c>
      <c r="E594" s="4">
        <v>9</v>
      </c>
      <c r="F594" s="4">
        <v>2</v>
      </c>
      <c r="G594" s="4">
        <v>2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</row>
    <row r="595" spans="1:12">
      <c r="A595" s="3" t="s">
        <v>111</v>
      </c>
      <c r="B595" s="4">
        <v>3</v>
      </c>
      <c r="C595" s="4" t="s">
        <v>31</v>
      </c>
      <c r="D595" s="4">
        <v>16</v>
      </c>
      <c r="E595" s="4">
        <v>16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</row>
    <row r="596" spans="1:12">
      <c r="A596" s="3" t="s">
        <v>111</v>
      </c>
      <c r="B596" s="4">
        <v>4</v>
      </c>
      <c r="C596" s="4" t="s">
        <v>31</v>
      </c>
      <c r="D596" s="4">
        <v>4</v>
      </c>
      <c r="E596" s="4">
        <v>4</v>
      </c>
      <c r="F596" s="4">
        <v>1</v>
      </c>
      <c r="G596" s="4">
        <v>1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</row>
    <row r="597" spans="1:12">
      <c r="A597" s="3" t="s">
        <v>111</v>
      </c>
      <c r="B597" s="4">
        <v>5</v>
      </c>
      <c r="C597" s="4" t="s">
        <v>31</v>
      </c>
      <c r="D597" s="4">
        <v>90</v>
      </c>
      <c r="E597" s="4">
        <v>90</v>
      </c>
      <c r="F597" s="4">
        <v>59</v>
      </c>
      <c r="G597" s="4">
        <v>59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</row>
    <row r="598" spans="1:12">
      <c r="A598" s="3" t="s">
        <v>111</v>
      </c>
      <c r="B598" s="4">
        <v>6</v>
      </c>
      <c r="C598" s="4" t="s">
        <v>31</v>
      </c>
      <c r="D598" s="4">
        <v>6</v>
      </c>
      <c r="E598" s="4">
        <v>6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</row>
    <row r="599" spans="1:12">
      <c r="A599" s="3" t="s">
        <v>111</v>
      </c>
      <c r="B599" s="4">
        <v>7</v>
      </c>
      <c r="C599" s="4" t="s">
        <v>31</v>
      </c>
      <c r="D599" s="4">
        <v>23</v>
      </c>
      <c r="E599" s="4">
        <v>23</v>
      </c>
      <c r="F599" s="4">
        <v>1</v>
      </c>
      <c r="G599" s="4">
        <v>1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</row>
    <row r="600" spans="1:12">
      <c r="A600" s="3" t="s">
        <v>111</v>
      </c>
      <c r="B600" s="4">
        <v>8</v>
      </c>
      <c r="C600" s="4" t="s">
        <v>31</v>
      </c>
      <c r="D600" s="4">
        <v>6</v>
      </c>
      <c r="E600" s="4">
        <v>6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</row>
    <row r="601" spans="1:12">
      <c r="A601" s="3" t="s">
        <v>112</v>
      </c>
      <c r="B601" s="4">
        <v>5</v>
      </c>
      <c r="C601" s="4" t="s">
        <v>31</v>
      </c>
      <c r="D601" s="4">
        <v>90</v>
      </c>
      <c r="E601" s="4">
        <v>90</v>
      </c>
      <c r="F601" s="4">
        <v>4</v>
      </c>
      <c r="G601" s="4">
        <v>4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</row>
    <row r="602" spans="1:12">
      <c r="A602" s="3" t="s">
        <v>112</v>
      </c>
      <c r="B602" s="4">
        <v>6</v>
      </c>
      <c r="C602" s="4" t="s">
        <v>31</v>
      </c>
      <c r="D602" s="4">
        <v>20</v>
      </c>
      <c r="E602" s="4">
        <v>20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</row>
    <row r="603" spans="1:12">
      <c r="A603" s="3" t="s">
        <v>112</v>
      </c>
      <c r="B603" s="4">
        <v>7</v>
      </c>
      <c r="C603" s="4" t="s">
        <v>31</v>
      </c>
      <c r="D603" s="4">
        <v>10</v>
      </c>
      <c r="E603" s="4">
        <v>10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</row>
    <row r="604" spans="1:12">
      <c r="A604" s="3" t="s">
        <v>112</v>
      </c>
      <c r="B604" s="4">
        <v>8</v>
      </c>
      <c r="C604" s="4" t="s">
        <v>31</v>
      </c>
      <c r="D604" s="4">
        <v>15</v>
      </c>
      <c r="E604" s="4">
        <v>15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</row>
    <row r="605" spans="1:12">
      <c r="A605" s="3" t="s">
        <v>112</v>
      </c>
      <c r="B605" s="4">
        <v>9</v>
      </c>
      <c r="C605" s="4" t="s">
        <v>31</v>
      </c>
      <c r="D605" s="4">
        <v>25</v>
      </c>
      <c r="E605" s="4">
        <v>25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</row>
    <row r="606" spans="1:12">
      <c r="A606" s="3" t="s">
        <v>112</v>
      </c>
      <c r="B606" s="4">
        <v>10</v>
      </c>
      <c r="C606" s="4" t="s">
        <v>31</v>
      </c>
      <c r="D606" s="4">
        <v>30</v>
      </c>
      <c r="E606" s="4">
        <v>30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</row>
    <row r="607" spans="1:12">
      <c r="A607" s="3" t="s">
        <v>113</v>
      </c>
      <c r="B607" s="4">
        <v>1</v>
      </c>
      <c r="C607" s="4" t="s">
        <v>31</v>
      </c>
      <c r="D607" s="4">
        <v>120</v>
      </c>
      <c r="E607" s="4">
        <v>120</v>
      </c>
      <c r="F607" s="4">
        <v>348</v>
      </c>
      <c r="G607" s="4">
        <v>348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</row>
    <row r="608" spans="1:12">
      <c r="A608" s="3" t="s">
        <v>113</v>
      </c>
      <c r="B608" s="4">
        <v>2</v>
      </c>
      <c r="C608" s="4" t="s">
        <v>31</v>
      </c>
      <c r="D608" s="4">
        <v>2</v>
      </c>
      <c r="E608" s="4">
        <v>2</v>
      </c>
      <c r="F608" s="4">
        <v>5</v>
      </c>
      <c r="G608" s="4">
        <v>5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</row>
    <row r="609" spans="1:12">
      <c r="A609" s="3" t="s">
        <v>113</v>
      </c>
      <c r="B609" s="4">
        <v>3</v>
      </c>
      <c r="C609" s="4" t="s">
        <v>31</v>
      </c>
      <c r="D609" s="4">
        <v>0</v>
      </c>
      <c r="E609" s="4">
        <v>0</v>
      </c>
      <c r="F609" s="4">
        <v>6</v>
      </c>
      <c r="G609" s="4">
        <v>6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</row>
    <row r="610" spans="1:12">
      <c r="A610" s="3" t="s">
        <v>113</v>
      </c>
      <c r="B610" s="4">
        <v>4</v>
      </c>
      <c r="C610" s="4" t="s">
        <v>31</v>
      </c>
      <c r="D610" s="4">
        <v>0</v>
      </c>
      <c r="E610" s="4">
        <v>0</v>
      </c>
      <c r="F610" s="4">
        <v>9</v>
      </c>
      <c r="G610" s="4">
        <v>9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</row>
    <row r="611" spans="1:12">
      <c r="A611" s="3" t="s">
        <v>113</v>
      </c>
      <c r="B611" s="4">
        <v>5</v>
      </c>
      <c r="C611" s="4" t="s">
        <v>31</v>
      </c>
      <c r="D611" s="4">
        <v>180</v>
      </c>
      <c r="E611" s="4">
        <v>180</v>
      </c>
      <c r="F611" s="4">
        <v>252</v>
      </c>
      <c r="G611" s="4">
        <v>252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</row>
    <row r="612" spans="1:12">
      <c r="A612" s="3" t="s">
        <v>113</v>
      </c>
      <c r="B612" s="4">
        <v>6</v>
      </c>
      <c r="C612" s="4" t="s">
        <v>31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</row>
    <row r="613" spans="1:12">
      <c r="A613" s="3" t="s">
        <v>113</v>
      </c>
      <c r="B613" s="4">
        <v>7</v>
      </c>
      <c r="C613" s="4" t="s">
        <v>31</v>
      </c>
      <c r="D613" s="4">
        <v>6</v>
      </c>
      <c r="E613" s="4">
        <v>6</v>
      </c>
      <c r="F613" s="4">
        <v>1</v>
      </c>
      <c r="G613" s="4">
        <v>1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</row>
    <row r="614" spans="1:12">
      <c r="A614" s="3" t="s">
        <v>113</v>
      </c>
      <c r="B614" s="4">
        <v>8</v>
      </c>
      <c r="C614" s="4" t="s">
        <v>31</v>
      </c>
      <c r="D614" s="4">
        <v>0</v>
      </c>
      <c r="E614" s="4">
        <v>0</v>
      </c>
      <c r="F614" s="4">
        <v>4</v>
      </c>
      <c r="G614" s="4">
        <v>4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</row>
    <row r="615" spans="1:12">
      <c r="A615" s="3" t="s">
        <v>114</v>
      </c>
      <c r="B615" s="4">
        <v>9</v>
      </c>
      <c r="C615" s="4" t="s">
        <v>31</v>
      </c>
      <c r="D615" s="4">
        <v>240</v>
      </c>
      <c r="E615" s="4">
        <v>240</v>
      </c>
      <c r="F615" s="4">
        <v>399</v>
      </c>
      <c r="G615" s="4">
        <v>399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</row>
    <row r="616" spans="1:12">
      <c r="A616" s="3" t="s">
        <v>114</v>
      </c>
      <c r="B616" s="4">
        <v>10</v>
      </c>
      <c r="C616" s="4" t="s">
        <v>31</v>
      </c>
      <c r="D616" s="4">
        <v>0</v>
      </c>
      <c r="E616" s="4">
        <v>0</v>
      </c>
      <c r="F616" s="4">
        <v>8</v>
      </c>
      <c r="G616" s="4">
        <v>8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</row>
    <row r="617" spans="1:12">
      <c r="A617" s="3" t="s">
        <v>114</v>
      </c>
      <c r="B617" s="4">
        <v>11</v>
      </c>
      <c r="C617" s="4" t="s">
        <v>31</v>
      </c>
      <c r="D617" s="4">
        <v>0</v>
      </c>
      <c r="E617" s="4">
        <v>0</v>
      </c>
      <c r="F617" s="4">
        <v>116</v>
      </c>
      <c r="G617" s="4">
        <v>116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</row>
    <row r="618" spans="1:12">
      <c r="A618" s="3" t="s">
        <v>114</v>
      </c>
      <c r="B618" s="4">
        <v>12</v>
      </c>
      <c r="C618" s="4" t="s">
        <v>31</v>
      </c>
      <c r="D618" s="4">
        <v>0</v>
      </c>
      <c r="E618" s="4">
        <v>0</v>
      </c>
      <c r="F618" s="4">
        <v>1</v>
      </c>
      <c r="G618" s="4">
        <v>1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</row>
    <row r="619" spans="1:12">
      <c r="A619" s="3" t="s">
        <v>115</v>
      </c>
      <c r="B619" s="4">
        <v>1</v>
      </c>
      <c r="C619" s="4" t="s">
        <v>31</v>
      </c>
      <c r="D619" s="4">
        <v>96</v>
      </c>
      <c r="E619" s="4">
        <v>96</v>
      </c>
      <c r="F619" s="4">
        <v>101</v>
      </c>
      <c r="G619" s="4">
        <v>101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</row>
    <row r="620" spans="1:12">
      <c r="A620" s="3" t="s">
        <v>115</v>
      </c>
      <c r="B620" s="4">
        <v>2</v>
      </c>
      <c r="C620" s="4" t="s">
        <v>31</v>
      </c>
      <c r="D620" s="4">
        <v>4</v>
      </c>
      <c r="E620" s="4">
        <v>4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</row>
    <row r="621" spans="1:12">
      <c r="A621" s="3" t="s">
        <v>115</v>
      </c>
      <c r="B621" s="4">
        <v>3</v>
      </c>
      <c r="C621" s="4" t="s">
        <v>31</v>
      </c>
      <c r="D621" s="4">
        <v>0</v>
      </c>
      <c r="E621" s="4">
        <v>0</v>
      </c>
      <c r="F621" s="4">
        <v>2</v>
      </c>
      <c r="G621" s="4">
        <v>2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</row>
    <row r="622" spans="1:12">
      <c r="A622" s="3" t="s">
        <v>115</v>
      </c>
      <c r="B622" s="4">
        <v>4</v>
      </c>
      <c r="C622" s="4" t="s">
        <v>31</v>
      </c>
      <c r="D622" s="4">
        <v>0</v>
      </c>
      <c r="E622" s="4">
        <v>0</v>
      </c>
      <c r="F622" s="4">
        <v>2</v>
      </c>
      <c r="G622" s="4">
        <v>2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</row>
    <row r="623" spans="1:12">
      <c r="A623" s="3" t="s">
        <v>116</v>
      </c>
      <c r="B623" s="4">
        <v>5</v>
      </c>
      <c r="C623" s="4" t="s">
        <v>31</v>
      </c>
      <c r="D623" s="4">
        <v>182</v>
      </c>
      <c r="E623" s="4">
        <v>182</v>
      </c>
      <c r="F623" s="4">
        <v>119</v>
      </c>
      <c r="G623" s="4">
        <v>119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</row>
    <row r="624" spans="1:12">
      <c r="A624" s="3" t="s">
        <v>116</v>
      </c>
      <c r="B624" s="4">
        <v>6</v>
      </c>
      <c r="C624" s="4" t="s">
        <v>31</v>
      </c>
      <c r="D624" s="4">
        <v>1</v>
      </c>
      <c r="E624" s="4">
        <v>1</v>
      </c>
      <c r="F624" s="4">
        <v>1</v>
      </c>
      <c r="G624" s="4">
        <v>1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</row>
    <row r="625" spans="1:12">
      <c r="A625" s="3" t="s">
        <v>116</v>
      </c>
      <c r="B625" s="4">
        <v>7</v>
      </c>
      <c r="C625" s="4" t="s">
        <v>31</v>
      </c>
      <c r="D625" s="4">
        <v>7</v>
      </c>
      <c r="E625" s="4">
        <v>7</v>
      </c>
      <c r="F625" s="4">
        <v>2</v>
      </c>
      <c r="G625" s="4">
        <v>2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</row>
    <row r="626" spans="1:12">
      <c r="A626" s="3" t="s">
        <v>116</v>
      </c>
      <c r="B626" s="4">
        <v>8</v>
      </c>
      <c r="C626" s="4" t="s">
        <v>31</v>
      </c>
      <c r="D626" s="4">
        <v>0</v>
      </c>
      <c r="E626" s="4">
        <v>0</v>
      </c>
      <c r="F626" s="4">
        <v>3</v>
      </c>
      <c r="G626" s="4">
        <v>3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</row>
    <row r="627" spans="1:12">
      <c r="A627" s="3" t="s">
        <v>116</v>
      </c>
      <c r="B627" s="4">
        <v>9</v>
      </c>
      <c r="C627" s="4" t="s">
        <v>31</v>
      </c>
      <c r="D627" s="4">
        <v>120</v>
      </c>
      <c r="E627" s="4">
        <v>120</v>
      </c>
      <c r="F627" s="4">
        <v>143</v>
      </c>
      <c r="G627" s="4">
        <v>143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</row>
    <row r="628" spans="1:12">
      <c r="A628" s="3" t="s">
        <v>116</v>
      </c>
      <c r="B628" s="4">
        <v>10</v>
      </c>
      <c r="C628" s="4" t="s">
        <v>31</v>
      </c>
      <c r="D628" s="4">
        <v>0</v>
      </c>
      <c r="E628" s="4">
        <v>0</v>
      </c>
      <c r="F628" s="4">
        <v>3</v>
      </c>
      <c r="G628" s="4">
        <v>3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</row>
    <row r="629" spans="1:12">
      <c r="A629" s="3" t="s">
        <v>116</v>
      </c>
      <c r="B629" s="4">
        <v>11</v>
      </c>
      <c r="C629" s="4" t="s">
        <v>31</v>
      </c>
      <c r="D629" s="4">
        <v>90</v>
      </c>
      <c r="E629" s="4">
        <v>90</v>
      </c>
      <c r="F629" s="4">
        <v>83</v>
      </c>
      <c r="G629" s="4">
        <v>83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</row>
    <row r="630" spans="1:12">
      <c r="A630" s="3" t="s">
        <v>116</v>
      </c>
      <c r="B630" s="4">
        <v>12</v>
      </c>
      <c r="C630" s="4" t="s">
        <v>31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</row>
    <row r="631" spans="1:12">
      <c r="A631" s="3" t="s">
        <v>117</v>
      </c>
      <c r="B631" s="4">
        <v>1</v>
      </c>
      <c r="C631" s="4" t="s">
        <v>31</v>
      </c>
      <c r="D631" s="4">
        <v>96</v>
      </c>
      <c r="E631" s="4">
        <v>96</v>
      </c>
      <c r="F631" s="4">
        <v>173</v>
      </c>
      <c r="G631" s="4">
        <v>173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</row>
    <row r="632" spans="1:12">
      <c r="A632" s="3" t="s">
        <v>117</v>
      </c>
      <c r="B632" s="4">
        <v>2</v>
      </c>
      <c r="C632" s="4" t="s">
        <v>31</v>
      </c>
      <c r="D632" s="4">
        <v>0</v>
      </c>
      <c r="E632" s="4">
        <v>0</v>
      </c>
      <c r="F632" s="4">
        <v>4</v>
      </c>
      <c r="G632" s="4">
        <v>4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</row>
    <row r="633" spans="1:12">
      <c r="A633" s="3" t="s">
        <v>117</v>
      </c>
      <c r="B633" s="4">
        <v>3</v>
      </c>
      <c r="C633" s="4" t="s">
        <v>31</v>
      </c>
      <c r="D633" s="4">
        <v>0</v>
      </c>
      <c r="E633" s="4">
        <v>0</v>
      </c>
      <c r="F633" s="4">
        <v>1</v>
      </c>
      <c r="G633" s="4">
        <v>1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</row>
    <row r="634" spans="1:12">
      <c r="A634" s="3" t="s">
        <v>117</v>
      </c>
      <c r="B634" s="4">
        <v>4</v>
      </c>
      <c r="C634" s="4" t="s">
        <v>31</v>
      </c>
      <c r="D634" s="4">
        <v>0</v>
      </c>
      <c r="E634" s="4">
        <v>0</v>
      </c>
      <c r="F634" s="4">
        <v>10</v>
      </c>
      <c r="G634" s="4">
        <v>10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</row>
    <row r="635" spans="1:12">
      <c r="A635" s="3" t="s">
        <v>118</v>
      </c>
      <c r="B635" s="4">
        <v>1</v>
      </c>
      <c r="C635" s="4" t="s">
        <v>31</v>
      </c>
      <c r="D635" s="4">
        <v>240</v>
      </c>
      <c r="E635" s="4">
        <v>240</v>
      </c>
      <c r="F635" s="4">
        <v>187</v>
      </c>
      <c r="G635" s="4">
        <v>187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</row>
    <row r="636" spans="1:12">
      <c r="A636" s="3" t="s">
        <v>118</v>
      </c>
      <c r="B636" s="4">
        <v>2</v>
      </c>
      <c r="C636" s="4" t="s">
        <v>31</v>
      </c>
      <c r="D636" s="4">
        <v>0</v>
      </c>
      <c r="E636" s="4">
        <v>0</v>
      </c>
      <c r="F636" s="4">
        <v>3</v>
      </c>
      <c r="G636" s="4">
        <v>3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</row>
    <row r="637" spans="1:12">
      <c r="A637" s="3" t="s">
        <v>118</v>
      </c>
      <c r="B637" s="4">
        <v>3</v>
      </c>
      <c r="C637" s="4" t="s">
        <v>31</v>
      </c>
      <c r="D637" s="4">
        <v>0</v>
      </c>
      <c r="E637" s="4">
        <v>0</v>
      </c>
      <c r="F637" s="4">
        <v>2</v>
      </c>
      <c r="G637" s="4">
        <v>2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</row>
    <row r="638" spans="1:12">
      <c r="A638" s="3" t="s">
        <v>118</v>
      </c>
      <c r="B638" s="4">
        <v>4</v>
      </c>
      <c r="C638" s="4" t="s">
        <v>31</v>
      </c>
      <c r="D638" s="4">
        <v>0</v>
      </c>
      <c r="E638" s="4">
        <v>0</v>
      </c>
      <c r="F638" s="4">
        <v>5</v>
      </c>
      <c r="G638" s="4">
        <v>5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</row>
    <row r="639" spans="1:12">
      <c r="A639" s="3" t="s">
        <v>118</v>
      </c>
      <c r="B639" s="4">
        <v>5</v>
      </c>
      <c r="C639" s="4" t="s">
        <v>31</v>
      </c>
      <c r="D639" s="4">
        <v>330</v>
      </c>
      <c r="E639" s="4">
        <v>330</v>
      </c>
      <c r="F639" s="4">
        <v>170</v>
      </c>
      <c r="G639" s="4">
        <v>170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</row>
    <row r="640" spans="1:12">
      <c r="A640" s="3" t="s">
        <v>118</v>
      </c>
      <c r="B640" s="4">
        <v>6</v>
      </c>
      <c r="C640" s="4" t="s">
        <v>31</v>
      </c>
      <c r="D640" s="4">
        <v>2</v>
      </c>
      <c r="E640" s="4">
        <v>2</v>
      </c>
      <c r="F640" s="4">
        <v>1</v>
      </c>
      <c r="G640" s="4">
        <v>1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</row>
    <row r="641" spans="1:12">
      <c r="A641" s="3" t="s">
        <v>118</v>
      </c>
      <c r="B641" s="4">
        <v>7</v>
      </c>
      <c r="C641" s="4" t="s">
        <v>31</v>
      </c>
      <c r="D641" s="4">
        <v>0</v>
      </c>
      <c r="E641" s="4">
        <v>0</v>
      </c>
      <c r="F641" s="4">
        <v>2</v>
      </c>
      <c r="G641" s="4">
        <v>2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</row>
    <row r="642" spans="1:12">
      <c r="A642" s="3" t="s">
        <v>118</v>
      </c>
      <c r="B642" s="4">
        <v>8</v>
      </c>
      <c r="C642" s="4" t="s">
        <v>31</v>
      </c>
      <c r="D642" s="4">
        <v>2</v>
      </c>
      <c r="E642" s="4">
        <v>2</v>
      </c>
      <c r="F642" s="4">
        <v>5</v>
      </c>
      <c r="G642" s="4">
        <v>5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</row>
    <row r="643" spans="1:12">
      <c r="A643" s="3" t="s">
        <v>119</v>
      </c>
      <c r="B643" s="4">
        <v>1</v>
      </c>
      <c r="C643" s="4" t="s">
        <v>40</v>
      </c>
      <c r="D643" s="4">
        <v>66</v>
      </c>
      <c r="E643" s="4">
        <v>66</v>
      </c>
      <c r="F643" s="4">
        <v>83</v>
      </c>
      <c r="G643" s="4">
        <v>83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</row>
    <row r="644" spans="1:12">
      <c r="A644" s="3" t="s">
        <v>119</v>
      </c>
      <c r="B644" s="4">
        <v>4</v>
      </c>
      <c r="C644" s="4" t="s">
        <v>40</v>
      </c>
      <c r="D644" s="4">
        <v>3</v>
      </c>
      <c r="E644" s="4">
        <v>3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</row>
    <row r="645" spans="1:12">
      <c r="A645" s="3" t="s">
        <v>120</v>
      </c>
      <c r="B645" s="4">
        <v>1</v>
      </c>
      <c r="C645" s="4" t="s">
        <v>52</v>
      </c>
      <c r="D645" s="4">
        <v>48</v>
      </c>
      <c r="E645" s="4">
        <v>48</v>
      </c>
      <c r="F645" s="4">
        <v>36</v>
      </c>
      <c r="G645" s="4">
        <v>36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</row>
    <row r="646" spans="1:12">
      <c r="A646" s="3" t="s">
        <v>120</v>
      </c>
      <c r="B646" s="4">
        <v>2</v>
      </c>
      <c r="C646" s="4" t="s">
        <v>52</v>
      </c>
      <c r="D646" s="4">
        <v>11</v>
      </c>
      <c r="E646" s="4">
        <v>11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</row>
    <row r="647" spans="1:12">
      <c r="A647" s="3" t="s">
        <v>120</v>
      </c>
      <c r="B647" s="4">
        <v>3</v>
      </c>
      <c r="C647" s="4" t="s">
        <v>52</v>
      </c>
      <c r="D647" s="4">
        <v>7</v>
      </c>
      <c r="E647" s="4">
        <v>7</v>
      </c>
      <c r="F647" s="4">
        <v>2</v>
      </c>
      <c r="G647" s="4">
        <v>2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</row>
    <row r="648" spans="1:12">
      <c r="A648" s="3" t="s">
        <v>120</v>
      </c>
      <c r="B648" s="4">
        <v>4</v>
      </c>
      <c r="C648" s="4" t="s">
        <v>52</v>
      </c>
      <c r="D648" s="4">
        <v>1</v>
      </c>
      <c r="E648" s="4">
        <v>1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</row>
    <row r="649" spans="1:12">
      <c r="A649" s="3" t="s">
        <v>121</v>
      </c>
      <c r="B649" s="4">
        <v>1</v>
      </c>
      <c r="C649" s="4" t="s">
        <v>40</v>
      </c>
      <c r="D649" s="4">
        <v>24</v>
      </c>
      <c r="E649" s="4">
        <v>24</v>
      </c>
      <c r="F649" s="4">
        <v>18</v>
      </c>
      <c r="G649" s="4">
        <v>18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</row>
    <row r="650" spans="1:12">
      <c r="A650" s="3" t="s">
        <v>121</v>
      </c>
      <c r="B650" s="4">
        <v>2</v>
      </c>
      <c r="C650" s="4" t="s">
        <v>40</v>
      </c>
      <c r="D650" s="4">
        <v>2</v>
      </c>
      <c r="E650" s="4">
        <v>2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</row>
    <row r="651" spans="1:12">
      <c r="A651" s="3" t="s">
        <v>121</v>
      </c>
      <c r="B651" s="4">
        <v>3</v>
      </c>
      <c r="C651" s="4" t="s">
        <v>40</v>
      </c>
      <c r="D651" s="4">
        <v>0</v>
      </c>
      <c r="E651" s="4">
        <v>0</v>
      </c>
      <c r="F651" s="4">
        <v>1</v>
      </c>
      <c r="G651" s="4">
        <v>1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</row>
    <row r="652" spans="1:12">
      <c r="A652" s="3" t="s">
        <v>121</v>
      </c>
      <c r="B652" s="4">
        <v>4</v>
      </c>
      <c r="C652" s="4" t="s">
        <v>40</v>
      </c>
      <c r="D652" s="4">
        <v>3</v>
      </c>
      <c r="E652" s="4">
        <v>3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</row>
    <row r="653" spans="1:12">
      <c r="A653" s="3" t="s">
        <v>122</v>
      </c>
      <c r="B653" s="4">
        <v>1</v>
      </c>
      <c r="C653" s="4" t="s">
        <v>31</v>
      </c>
      <c r="D653" s="4">
        <v>20</v>
      </c>
      <c r="E653" s="4">
        <v>20</v>
      </c>
      <c r="F653" s="4">
        <v>34</v>
      </c>
      <c r="G653" s="4">
        <v>34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</row>
    <row r="654" spans="1:12">
      <c r="A654" s="3" t="s">
        <v>122</v>
      </c>
      <c r="B654" s="4">
        <v>2</v>
      </c>
      <c r="C654" s="4" t="s">
        <v>31</v>
      </c>
      <c r="D654" s="4">
        <v>1</v>
      </c>
      <c r="E654" s="4">
        <v>1</v>
      </c>
      <c r="F654" s="4">
        <v>1</v>
      </c>
      <c r="G654" s="4">
        <v>1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</row>
    <row r="655" spans="1:12">
      <c r="A655" s="3" t="s">
        <v>122</v>
      </c>
      <c r="B655" s="4">
        <v>3</v>
      </c>
      <c r="C655" s="4" t="s">
        <v>31</v>
      </c>
      <c r="D655" s="4">
        <v>0</v>
      </c>
      <c r="E655" s="4">
        <v>0</v>
      </c>
      <c r="F655" s="4">
        <v>1</v>
      </c>
      <c r="G655" s="4">
        <v>1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</row>
    <row r="656" spans="1:12">
      <c r="A656" s="3" t="s">
        <v>122</v>
      </c>
      <c r="B656" s="4">
        <v>4</v>
      </c>
      <c r="C656" s="4" t="s">
        <v>31</v>
      </c>
      <c r="D656" s="4">
        <v>0</v>
      </c>
      <c r="E656" s="4">
        <v>0</v>
      </c>
      <c r="F656" s="4">
        <v>2</v>
      </c>
      <c r="G656" s="4">
        <v>2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</row>
    <row r="657" spans="1:12">
      <c r="A657" s="3" t="s">
        <v>123</v>
      </c>
      <c r="B657" s="4">
        <v>1</v>
      </c>
      <c r="C657" s="4" t="s">
        <v>52</v>
      </c>
      <c r="D657" s="4">
        <v>48</v>
      </c>
      <c r="E657" s="4">
        <v>48</v>
      </c>
      <c r="F657" s="4">
        <v>46</v>
      </c>
      <c r="G657" s="4">
        <v>46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</row>
    <row r="658" spans="1:12">
      <c r="A658" s="3" t="s">
        <v>124</v>
      </c>
      <c r="B658" s="4">
        <v>2</v>
      </c>
      <c r="C658" s="4" t="s">
        <v>52</v>
      </c>
      <c r="D658" s="4">
        <v>2</v>
      </c>
      <c r="E658" s="4">
        <v>2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</row>
    <row r="659" spans="1:12">
      <c r="A659" s="3" t="s">
        <v>125</v>
      </c>
      <c r="B659" s="4">
        <v>1</v>
      </c>
      <c r="C659" s="4" t="s">
        <v>52</v>
      </c>
      <c r="D659" s="4">
        <v>48</v>
      </c>
      <c r="E659" s="4">
        <v>48</v>
      </c>
      <c r="F659" s="4">
        <v>46</v>
      </c>
      <c r="G659" s="4">
        <v>46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</row>
    <row r="660" spans="1:12">
      <c r="A660" s="3" t="s">
        <v>126</v>
      </c>
      <c r="B660" s="4">
        <v>1</v>
      </c>
      <c r="C660" s="4" t="s">
        <v>31</v>
      </c>
      <c r="D660" s="4">
        <v>96</v>
      </c>
      <c r="E660" s="4">
        <v>96</v>
      </c>
      <c r="F660" s="4">
        <v>120</v>
      </c>
      <c r="G660" s="4">
        <v>120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</row>
    <row r="661" spans="1:12">
      <c r="A661" s="3" t="s">
        <v>126</v>
      </c>
      <c r="B661" s="4">
        <v>2</v>
      </c>
      <c r="C661" s="4" t="s">
        <v>31</v>
      </c>
      <c r="D661" s="4">
        <v>0</v>
      </c>
      <c r="E661" s="4">
        <v>0</v>
      </c>
      <c r="F661" s="4">
        <v>2</v>
      </c>
      <c r="G661" s="4">
        <v>2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</row>
    <row r="662" spans="1:12">
      <c r="A662" s="3" t="s">
        <v>126</v>
      </c>
      <c r="B662" s="4">
        <v>3</v>
      </c>
      <c r="C662" s="4" t="s">
        <v>31</v>
      </c>
      <c r="D662" s="4">
        <v>0</v>
      </c>
      <c r="E662" s="4">
        <v>0</v>
      </c>
      <c r="F662" s="4">
        <v>3</v>
      </c>
      <c r="G662" s="4">
        <v>3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</row>
    <row r="663" spans="1:12">
      <c r="A663" s="3" t="s">
        <v>126</v>
      </c>
      <c r="B663" s="4">
        <v>4</v>
      </c>
      <c r="C663" s="4" t="s">
        <v>31</v>
      </c>
      <c r="D663" s="4">
        <v>1</v>
      </c>
      <c r="E663" s="4">
        <v>1</v>
      </c>
      <c r="F663" s="4">
        <v>2</v>
      </c>
      <c r="G663" s="4">
        <v>2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</row>
    <row r="664" spans="1:12">
      <c r="A664" s="3" t="s">
        <v>126</v>
      </c>
      <c r="B664" s="4">
        <v>5</v>
      </c>
      <c r="C664" s="4" t="s">
        <v>31</v>
      </c>
      <c r="D664" s="4">
        <v>120</v>
      </c>
      <c r="E664" s="4">
        <v>120</v>
      </c>
      <c r="F664" s="4">
        <v>96</v>
      </c>
      <c r="G664" s="4">
        <v>96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</row>
    <row r="665" spans="1:12">
      <c r="A665" s="3" t="s">
        <v>126</v>
      </c>
      <c r="B665" s="4">
        <v>6</v>
      </c>
      <c r="C665" s="4" t="s">
        <v>31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</row>
    <row r="666" spans="1:12">
      <c r="A666" s="3" t="s">
        <v>126</v>
      </c>
      <c r="B666" s="4">
        <v>7</v>
      </c>
      <c r="C666" s="4" t="s">
        <v>31</v>
      </c>
      <c r="D666" s="4">
        <v>8</v>
      </c>
      <c r="E666" s="4">
        <v>8</v>
      </c>
      <c r="F666" s="4">
        <v>1</v>
      </c>
      <c r="G666" s="4">
        <v>1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</row>
    <row r="667" spans="1:12">
      <c r="A667" s="3" t="s">
        <v>126</v>
      </c>
      <c r="B667" s="4">
        <v>8</v>
      </c>
      <c r="C667" s="4" t="s">
        <v>31</v>
      </c>
      <c r="D667" s="4">
        <v>2</v>
      </c>
      <c r="E667" s="4">
        <v>2</v>
      </c>
      <c r="F667" s="4">
        <v>1</v>
      </c>
      <c r="G667" s="4">
        <v>1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</row>
    <row r="668" spans="1:12">
      <c r="A668" s="3" t="s">
        <v>127</v>
      </c>
      <c r="B668" s="4">
        <v>1</v>
      </c>
      <c r="C668" s="4" t="s">
        <v>31</v>
      </c>
      <c r="D668" s="4">
        <v>96</v>
      </c>
      <c r="E668" s="4">
        <v>96</v>
      </c>
      <c r="F668" s="4">
        <v>182</v>
      </c>
      <c r="G668" s="4">
        <v>182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</row>
    <row r="669" spans="1:12">
      <c r="A669" s="3" t="s">
        <v>127</v>
      </c>
      <c r="B669" s="4">
        <v>2</v>
      </c>
      <c r="C669" s="4" t="s">
        <v>31</v>
      </c>
      <c r="D669" s="4">
        <v>1</v>
      </c>
      <c r="E669" s="4">
        <v>1</v>
      </c>
      <c r="F669" s="4">
        <v>1</v>
      </c>
      <c r="G669" s="4">
        <v>1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</row>
    <row r="670" spans="1:12">
      <c r="A670" s="3" t="s">
        <v>127</v>
      </c>
      <c r="B670" s="4">
        <v>3</v>
      </c>
      <c r="C670" s="4" t="s">
        <v>31</v>
      </c>
      <c r="D670" s="4">
        <v>2</v>
      </c>
      <c r="E670" s="4">
        <v>2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</row>
    <row r="671" spans="1:12">
      <c r="A671" s="3" t="s">
        <v>127</v>
      </c>
      <c r="B671" s="4">
        <v>4</v>
      </c>
      <c r="C671" s="4" t="s">
        <v>31</v>
      </c>
      <c r="D671" s="4">
        <v>0</v>
      </c>
      <c r="E671" s="4">
        <v>0</v>
      </c>
      <c r="F671" s="4">
        <v>1</v>
      </c>
      <c r="G671" s="4">
        <v>1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</row>
    <row r="672" spans="1:12">
      <c r="A672" s="3" t="s">
        <v>127</v>
      </c>
      <c r="B672" s="4">
        <v>5</v>
      </c>
      <c r="C672" s="4" t="s">
        <v>31</v>
      </c>
      <c r="D672" s="4">
        <v>113</v>
      </c>
      <c r="E672" s="4">
        <v>113</v>
      </c>
      <c r="F672" s="4">
        <v>77</v>
      </c>
      <c r="G672" s="4">
        <v>77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</row>
    <row r="673" spans="1:12">
      <c r="A673" s="3" t="s">
        <v>127</v>
      </c>
      <c r="B673" s="4">
        <v>6</v>
      </c>
      <c r="C673" s="4" t="s">
        <v>31</v>
      </c>
      <c r="D673" s="4">
        <v>3</v>
      </c>
      <c r="E673" s="4">
        <v>3</v>
      </c>
      <c r="F673" s="4">
        <v>3</v>
      </c>
      <c r="G673" s="4">
        <v>3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</row>
    <row r="674" spans="1:12">
      <c r="A674" s="3" t="s">
        <v>127</v>
      </c>
      <c r="B674" s="4">
        <v>7</v>
      </c>
      <c r="C674" s="4" t="s">
        <v>31</v>
      </c>
      <c r="D674" s="4">
        <v>13</v>
      </c>
      <c r="E674" s="4">
        <v>13</v>
      </c>
      <c r="F674" s="4">
        <v>1</v>
      </c>
      <c r="G674" s="4">
        <v>1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</row>
    <row r="675" spans="1:12">
      <c r="A675" s="3" t="s">
        <v>127</v>
      </c>
      <c r="B675" s="4">
        <v>8</v>
      </c>
      <c r="C675" s="4" t="s">
        <v>31</v>
      </c>
      <c r="D675" s="4">
        <v>12</v>
      </c>
      <c r="E675" s="4">
        <v>12</v>
      </c>
      <c r="F675" s="4">
        <v>2</v>
      </c>
      <c r="G675" s="4">
        <v>2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</row>
    <row r="676" spans="1:12">
      <c r="A676" s="3" t="s">
        <v>128</v>
      </c>
      <c r="B676" s="4">
        <v>1</v>
      </c>
      <c r="C676" s="4" t="s">
        <v>31</v>
      </c>
      <c r="D676" s="4">
        <v>168</v>
      </c>
      <c r="E676" s="4">
        <v>168</v>
      </c>
      <c r="F676" s="4">
        <v>135</v>
      </c>
      <c r="G676" s="4">
        <v>135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</row>
    <row r="677" spans="1:12">
      <c r="A677" s="3" t="s">
        <v>128</v>
      </c>
      <c r="B677" s="4">
        <v>2</v>
      </c>
      <c r="C677" s="4" t="s">
        <v>31</v>
      </c>
      <c r="D677" s="4">
        <v>1</v>
      </c>
      <c r="E677" s="4">
        <v>1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</row>
    <row r="678" spans="1:12">
      <c r="A678" s="3" t="s">
        <v>128</v>
      </c>
      <c r="B678" s="4">
        <v>3</v>
      </c>
      <c r="C678" s="4" t="s">
        <v>31</v>
      </c>
      <c r="D678" s="4">
        <v>0</v>
      </c>
      <c r="E678" s="4">
        <v>0</v>
      </c>
      <c r="F678" s="4">
        <v>2</v>
      </c>
      <c r="G678" s="4">
        <v>2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</row>
    <row r="679" spans="1:12">
      <c r="A679" s="3" t="s">
        <v>128</v>
      </c>
      <c r="B679" s="4">
        <v>4</v>
      </c>
      <c r="C679" s="4" t="s">
        <v>31</v>
      </c>
      <c r="D679" s="4">
        <v>0</v>
      </c>
      <c r="E679" s="4">
        <v>0</v>
      </c>
      <c r="F679" s="4">
        <v>3</v>
      </c>
      <c r="G679" s="4">
        <v>3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</row>
    <row r="680" spans="1:12">
      <c r="A680" s="3" t="s">
        <v>128</v>
      </c>
      <c r="B680" s="4">
        <v>5</v>
      </c>
      <c r="C680" s="4" t="s">
        <v>31</v>
      </c>
      <c r="D680" s="4">
        <v>360</v>
      </c>
      <c r="E680" s="4">
        <v>360</v>
      </c>
      <c r="F680" s="4">
        <v>107</v>
      </c>
      <c r="G680" s="4">
        <v>107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</row>
    <row r="681" spans="1:12">
      <c r="A681" s="3" t="s">
        <v>128</v>
      </c>
      <c r="B681" s="4">
        <v>6</v>
      </c>
      <c r="C681" s="4" t="s">
        <v>31</v>
      </c>
      <c r="D681" s="4">
        <v>5</v>
      </c>
      <c r="E681" s="4">
        <v>5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</row>
    <row r="682" spans="1:12">
      <c r="A682" s="3" t="s">
        <v>128</v>
      </c>
      <c r="B682" s="4">
        <v>7</v>
      </c>
      <c r="C682" s="4" t="s">
        <v>31</v>
      </c>
      <c r="D682" s="4">
        <v>20</v>
      </c>
      <c r="E682" s="4">
        <v>20</v>
      </c>
      <c r="F682" s="4">
        <v>1</v>
      </c>
      <c r="G682" s="4">
        <v>1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</row>
    <row r="683" spans="1:12">
      <c r="A683" s="3" t="s">
        <v>128</v>
      </c>
      <c r="B683" s="4">
        <v>8</v>
      </c>
      <c r="C683" s="4" t="s">
        <v>31</v>
      </c>
      <c r="D683" s="4">
        <v>18</v>
      </c>
      <c r="E683" s="4">
        <v>18</v>
      </c>
      <c r="F683" s="4">
        <v>2</v>
      </c>
      <c r="G683" s="4">
        <v>2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</row>
    <row r="684" spans="1:12">
      <c r="A684" s="3" t="s">
        <v>129</v>
      </c>
      <c r="B684" s="4">
        <v>1</v>
      </c>
      <c r="C684" s="4" t="s">
        <v>31</v>
      </c>
      <c r="D684" s="4">
        <v>94</v>
      </c>
      <c r="E684" s="4">
        <v>94</v>
      </c>
      <c r="F684" s="4">
        <v>124</v>
      </c>
      <c r="G684" s="4">
        <v>124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</row>
    <row r="685" spans="1:12">
      <c r="A685" s="3" t="s">
        <v>129</v>
      </c>
      <c r="B685" s="4">
        <v>2</v>
      </c>
      <c r="C685" s="4" t="s">
        <v>31</v>
      </c>
      <c r="D685" s="4">
        <v>5</v>
      </c>
      <c r="E685" s="4">
        <v>5</v>
      </c>
      <c r="F685" s="4">
        <v>4</v>
      </c>
      <c r="G685" s="4">
        <v>4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</row>
    <row r="686" spans="1:12">
      <c r="A686" s="3" t="s">
        <v>129</v>
      </c>
      <c r="B686" s="4">
        <v>3</v>
      </c>
      <c r="C686" s="4" t="s">
        <v>31</v>
      </c>
      <c r="D686" s="4">
        <v>1</v>
      </c>
      <c r="E686" s="4">
        <v>1</v>
      </c>
      <c r="F686" s="4">
        <v>2</v>
      </c>
      <c r="G686" s="4">
        <v>2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</row>
    <row r="687" spans="1:12">
      <c r="A687" s="3" t="s">
        <v>129</v>
      </c>
      <c r="B687" s="4">
        <v>4</v>
      </c>
      <c r="C687" s="4" t="s">
        <v>31</v>
      </c>
      <c r="D687" s="4">
        <v>0</v>
      </c>
      <c r="E687" s="4">
        <v>0</v>
      </c>
      <c r="F687" s="4">
        <v>1</v>
      </c>
      <c r="G687" s="4">
        <v>1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</row>
    <row r="688" spans="1:12">
      <c r="A688" s="3" t="s">
        <v>129</v>
      </c>
      <c r="B688" s="4">
        <v>5</v>
      </c>
      <c r="C688" s="4" t="s">
        <v>31</v>
      </c>
      <c r="D688" s="4">
        <v>120</v>
      </c>
      <c r="E688" s="4">
        <v>120</v>
      </c>
      <c r="F688" s="4">
        <v>91</v>
      </c>
      <c r="G688" s="4">
        <v>91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</row>
    <row r="689" spans="1:12">
      <c r="A689" s="3" t="s">
        <v>129</v>
      </c>
      <c r="B689" s="4">
        <v>6</v>
      </c>
      <c r="C689" s="4" t="s">
        <v>31</v>
      </c>
      <c r="D689" s="4">
        <v>3</v>
      </c>
      <c r="E689" s="4">
        <v>3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</row>
    <row r="690" spans="1:12">
      <c r="A690" s="3" t="s">
        <v>129</v>
      </c>
      <c r="B690" s="4">
        <v>7</v>
      </c>
      <c r="C690" s="4" t="s">
        <v>31</v>
      </c>
      <c r="D690" s="4">
        <v>15</v>
      </c>
      <c r="E690" s="4">
        <v>15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</row>
    <row r="691" spans="1:12">
      <c r="A691" s="3" t="s">
        <v>129</v>
      </c>
      <c r="B691" s="4">
        <v>8</v>
      </c>
      <c r="C691" s="4" t="s">
        <v>31</v>
      </c>
      <c r="D691" s="4">
        <v>10</v>
      </c>
      <c r="E691" s="4">
        <v>10</v>
      </c>
      <c r="F691" s="4">
        <v>2</v>
      </c>
      <c r="G691" s="4">
        <v>2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</row>
    <row r="692" spans="1:12">
      <c r="A692" s="3" t="s">
        <v>130</v>
      </c>
      <c r="B692" s="4">
        <v>1</v>
      </c>
      <c r="C692" s="4" t="s">
        <v>31</v>
      </c>
      <c r="D692" s="4">
        <v>110</v>
      </c>
      <c r="E692" s="4">
        <v>110</v>
      </c>
      <c r="F692" s="4">
        <v>152</v>
      </c>
      <c r="G692" s="4">
        <v>152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</row>
    <row r="693" spans="1:12">
      <c r="A693" s="3" t="s">
        <v>130</v>
      </c>
      <c r="B693" s="4">
        <v>2</v>
      </c>
      <c r="C693" s="4" t="s">
        <v>31</v>
      </c>
      <c r="D693" s="4">
        <v>10</v>
      </c>
      <c r="E693" s="4">
        <v>10</v>
      </c>
      <c r="F693" s="4">
        <v>2</v>
      </c>
      <c r="G693" s="4">
        <v>2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</row>
    <row r="694" spans="1:12">
      <c r="A694" s="3" t="s">
        <v>130</v>
      </c>
      <c r="B694" s="4">
        <v>3</v>
      </c>
      <c r="C694" s="4" t="s">
        <v>31</v>
      </c>
      <c r="D694" s="4">
        <v>0</v>
      </c>
      <c r="E694" s="4">
        <v>0</v>
      </c>
      <c r="F694" s="4">
        <v>3</v>
      </c>
      <c r="G694" s="4">
        <v>3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</row>
    <row r="695" spans="1:12">
      <c r="A695" s="3" t="s">
        <v>130</v>
      </c>
      <c r="B695" s="4">
        <v>4</v>
      </c>
      <c r="C695" s="4" t="s">
        <v>31</v>
      </c>
      <c r="D695" s="4">
        <v>0</v>
      </c>
      <c r="E695" s="4">
        <v>0</v>
      </c>
      <c r="F695" s="4">
        <v>2</v>
      </c>
      <c r="G695" s="4">
        <v>2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</row>
    <row r="696" spans="1:12">
      <c r="A696" s="3" t="s">
        <v>130</v>
      </c>
      <c r="B696" s="4">
        <v>5</v>
      </c>
      <c r="C696" s="4" t="s">
        <v>31</v>
      </c>
      <c r="D696" s="4">
        <v>140</v>
      </c>
      <c r="E696" s="4">
        <v>140</v>
      </c>
      <c r="F696" s="4">
        <v>131</v>
      </c>
      <c r="G696" s="4">
        <v>131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</row>
    <row r="697" spans="1:12">
      <c r="A697" s="3" t="s">
        <v>130</v>
      </c>
      <c r="B697" s="4">
        <v>6</v>
      </c>
      <c r="C697" s="4" t="s">
        <v>31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</row>
    <row r="698" spans="1:12">
      <c r="A698" s="3" t="s">
        <v>130</v>
      </c>
      <c r="B698" s="4">
        <v>7</v>
      </c>
      <c r="C698" s="4" t="s">
        <v>31</v>
      </c>
      <c r="D698" s="4">
        <v>0</v>
      </c>
      <c r="E698" s="4">
        <v>0</v>
      </c>
      <c r="F698" s="4">
        <v>4</v>
      </c>
      <c r="G698" s="4">
        <v>4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</row>
    <row r="699" spans="1:12">
      <c r="A699" s="3" t="s">
        <v>130</v>
      </c>
      <c r="B699" s="4">
        <v>8</v>
      </c>
      <c r="C699" s="4" t="s">
        <v>31</v>
      </c>
      <c r="D699" s="4">
        <v>0</v>
      </c>
      <c r="E699" s="4">
        <v>0</v>
      </c>
      <c r="F699" s="4">
        <v>2</v>
      </c>
      <c r="G699" s="4">
        <v>2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</row>
    <row r="700" spans="1:12">
      <c r="A700" s="3" t="s">
        <v>131</v>
      </c>
      <c r="B700" s="4">
        <v>1</v>
      </c>
      <c r="C700" s="4" t="s">
        <v>40</v>
      </c>
      <c r="D700" s="4">
        <v>24</v>
      </c>
      <c r="E700" s="4">
        <v>24</v>
      </c>
      <c r="F700" s="4">
        <v>28</v>
      </c>
      <c r="G700" s="4">
        <v>28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</row>
    <row r="701" spans="1:12">
      <c r="A701" s="3" t="s">
        <v>131</v>
      </c>
      <c r="B701" s="4">
        <v>1</v>
      </c>
      <c r="C701" s="4" t="s">
        <v>52</v>
      </c>
      <c r="D701" s="4">
        <v>24</v>
      </c>
      <c r="E701" s="4">
        <v>24</v>
      </c>
      <c r="F701" s="4">
        <v>16</v>
      </c>
      <c r="G701" s="4">
        <v>16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</row>
    <row r="702" spans="1:12">
      <c r="A702" s="3" t="s">
        <v>131</v>
      </c>
      <c r="B702" s="4">
        <v>2</v>
      </c>
      <c r="C702" s="4" t="s">
        <v>40</v>
      </c>
      <c r="D702" s="4">
        <v>10</v>
      </c>
      <c r="E702" s="4">
        <v>10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</row>
    <row r="703" spans="1:12">
      <c r="A703" s="3" t="s">
        <v>131</v>
      </c>
      <c r="B703" s="4">
        <v>2</v>
      </c>
      <c r="C703" s="4" t="s">
        <v>52</v>
      </c>
      <c r="D703" s="4">
        <v>3</v>
      </c>
      <c r="E703" s="4">
        <v>3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</row>
    <row r="704" spans="1:12">
      <c r="A704" s="3" t="s">
        <v>131</v>
      </c>
      <c r="B704" s="4">
        <v>3</v>
      </c>
      <c r="C704" s="4" t="s">
        <v>40</v>
      </c>
      <c r="D704" s="4">
        <v>13</v>
      </c>
      <c r="E704" s="4">
        <v>13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</row>
    <row r="705" spans="1:12">
      <c r="A705" s="3" t="s">
        <v>131</v>
      </c>
      <c r="B705" s="4">
        <v>3</v>
      </c>
      <c r="C705" s="4" t="s">
        <v>52</v>
      </c>
      <c r="D705" s="4">
        <v>3</v>
      </c>
      <c r="E705" s="4">
        <v>3</v>
      </c>
      <c r="F705" s="4">
        <v>1</v>
      </c>
      <c r="G705" s="4">
        <v>1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</row>
    <row r="706" spans="1:12">
      <c r="A706" s="3" t="s">
        <v>131</v>
      </c>
      <c r="B706" s="4">
        <v>4</v>
      </c>
      <c r="C706" s="4" t="s">
        <v>40</v>
      </c>
      <c r="D706" s="4">
        <v>14</v>
      </c>
      <c r="E706" s="4">
        <v>14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</row>
    <row r="707" spans="1:12">
      <c r="A707" s="3" t="s">
        <v>131</v>
      </c>
      <c r="B707" s="4">
        <v>4</v>
      </c>
      <c r="C707" s="4" t="s">
        <v>52</v>
      </c>
      <c r="D707" s="4">
        <v>4</v>
      </c>
      <c r="E707" s="4">
        <v>4</v>
      </c>
      <c r="F707" s="4">
        <v>1</v>
      </c>
      <c r="G707" s="4">
        <v>1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</row>
    <row r="708" spans="1:12">
      <c r="A708" s="3" t="s">
        <v>132</v>
      </c>
      <c r="B708" s="4">
        <v>9</v>
      </c>
      <c r="C708" s="4" t="s">
        <v>31</v>
      </c>
      <c r="D708" s="4">
        <v>510</v>
      </c>
      <c r="E708" s="4">
        <v>510</v>
      </c>
      <c r="F708" s="4">
        <v>174</v>
      </c>
      <c r="G708" s="4">
        <v>174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</row>
    <row r="709" spans="1:12">
      <c r="A709" s="3" t="s">
        <v>132</v>
      </c>
      <c r="B709" s="4">
        <v>10</v>
      </c>
      <c r="C709" s="4" t="s">
        <v>31</v>
      </c>
      <c r="D709" s="4">
        <v>3</v>
      </c>
      <c r="E709" s="4">
        <v>3</v>
      </c>
      <c r="F709" s="4">
        <v>7</v>
      </c>
      <c r="G709" s="4">
        <v>7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</row>
    <row r="710" spans="1:12">
      <c r="A710" s="3" t="s">
        <v>132</v>
      </c>
      <c r="B710" s="4">
        <v>11</v>
      </c>
      <c r="C710" s="4" t="s">
        <v>31</v>
      </c>
      <c r="D710" s="4">
        <v>180</v>
      </c>
      <c r="E710" s="4">
        <v>180</v>
      </c>
      <c r="F710" s="4">
        <v>48</v>
      </c>
      <c r="G710" s="4">
        <v>48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</row>
    <row r="711" spans="1:12">
      <c r="A711" s="3" t="s">
        <v>132</v>
      </c>
      <c r="B711" s="4">
        <v>12</v>
      </c>
      <c r="C711" s="4" t="s">
        <v>31</v>
      </c>
      <c r="D711" s="4">
        <v>3</v>
      </c>
      <c r="E711" s="4">
        <v>3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</row>
    <row r="712" spans="1:12">
      <c r="A712" s="3" t="s">
        <v>133</v>
      </c>
      <c r="B712" s="4">
        <v>1</v>
      </c>
      <c r="C712" s="4" t="s">
        <v>52</v>
      </c>
      <c r="D712" s="4">
        <v>96</v>
      </c>
      <c r="E712" s="4">
        <v>96</v>
      </c>
      <c r="F712" s="4">
        <v>91</v>
      </c>
      <c r="G712" s="4">
        <v>91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</row>
    <row r="713" spans="1:12">
      <c r="A713" s="3" t="s">
        <v>133</v>
      </c>
      <c r="B713" s="4">
        <v>2</v>
      </c>
      <c r="C713" s="4" t="s">
        <v>52</v>
      </c>
      <c r="D713" s="4">
        <v>13</v>
      </c>
      <c r="E713" s="4">
        <v>13</v>
      </c>
      <c r="F713" s="4">
        <v>2</v>
      </c>
      <c r="G713" s="4">
        <v>2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</row>
    <row r="714" spans="1:12">
      <c r="A714" s="3" t="s">
        <v>133</v>
      </c>
      <c r="B714" s="4">
        <v>3</v>
      </c>
      <c r="C714" s="4" t="s">
        <v>52</v>
      </c>
      <c r="D714" s="4">
        <v>10</v>
      </c>
      <c r="E714" s="4">
        <v>10</v>
      </c>
      <c r="F714" s="4">
        <v>3</v>
      </c>
      <c r="G714" s="4">
        <v>3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</row>
    <row r="715" spans="1:12">
      <c r="A715" s="3" t="s">
        <v>133</v>
      </c>
      <c r="B715" s="4">
        <v>4</v>
      </c>
      <c r="C715" s="4" t="s">
        <v>52</v>
      </c>
      <c r="D715" s="4">
        <v>2</v>
      </c>
      <c r="E715" s="4">
        <v>2</v>
      </c>
      <c r="F715" s="4">
        <v>3</v>
      </c>
      <c r="G715" s="4">
        <v>3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</row>
    <row r="716" spans="1:12">
      <c r="A716" s="3" t="s">
        <v>133</v>
      </c>
      <c r="B716" s="4">
        <v>5</v>
      </c>
      <c r="C716" s="4" t="s">
        <v>52</v>
      </c>
      <c r="D716" s="4">
        <v>120</v>
      </c>
      <c r="E716" s="4">
        <v>120</v>
      </c>
      <c r="F716" s="4">
        <v>101</v>
      </c>
      <c r="G716" s="4">
        <v>101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</row>
    <row r="717" spans="1:12">
      <c r="A717" s="3" t="s">
        <v>133</v>
      </c>
      <c r="B717" s="4">
        <v>6</v>
      </c>
      <c r="C717" s="4" t="s">
        <v>52</v>
      </c>
      <c r="D717" s="4">
        <v>2</v>
      </c>
      <c r="E717" s="4">
        <v>2</v>
      </c>
      <c r="F717" s="4">
        <v>2</v>
      </c>
      <c r="G717" s="4">
        <v>2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</row>
    <row r="718" spans="1:12">
      <c r="A718" s="3" t="s">
        <v>133</v>
      </c>
      <c r="B718" s="4">
        <v>7</v>
      </c>
      <c r="C718" s="4" t="s">
        <v>52</v>
      </c>
      <c r="D718" s="4">
        <v>12</v>
      </c>
      <c r="E718" s="4">
        <v>12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</row>
    <row r="719" spans="1:12">
      <c r="A719" s="3" t="s">
        <v>133</v>
      </c>
      <c r="B719" s="4">
        <v>8</v>
      </c>
      <c r="C719" s="4" t="s">
        <v>52</v>
      </c>
      <c r="D719" s="4">
        <v>4</v>
      </c>
      <c r="E719" s="4">
        <v>4</v>
      </c>
      <c r="F719" s="4">
        <v>2</v>
      </c>
      <c r="G719" s="4">
        <v>2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</row>
    <row r="720" spans="1:12">
      <c r="A720" s="3" t="s">
        <v>133</v>
      </c>
      <c r="B720" s="4">
        <v>9</v>
      </c>
      <c r="C720" s="4" t="s">
        <v>52</v>
      </c>
      <c r="D720" s="4">
        <v>122</v>
      </c>
      <c r="E720" s="4">
        <v>122</v>
      </c>
      <c r="F720" s="4">
        <v>57</v>
      </c>
      <c r="G720" s="4">
        <v>57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</row>
    <row r="721" spans="1:12">
      <c r="A721" s="3" t="s">
        <v>133</v>
      </c>
      <c r="B721" s="4">
        <v>10</v>
      </c>
      <c r="C721" s="4" t="s">
        <v>52</v>
      </c>
      <c r="D721" s="4">
        <v>9</v>
      </c>
      <c r="E721" s="4">
        <v>9</v>
      </c>
      <c r="F721" s="4">
        <v>2</v>
      </c>
      <c r="G721" s="4">
        <v>2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</row>
    <row r="722" spans="1:12">
      <c r="A722" s="3" t="s">
        <v>133</v>
      </c>
      <c r="B722" s="4">
        <v>11</v>
      </c>
      <c r="C722" s="4" t="s">
        <v>52</v>
      </c>
      <c r="D722" s="4">
        <v>60</v>
      </c>
      <c r="E722" s="4">
        <v>60</v>
      </c>
      <c r="F722" s="4">
        <v>43</v>
      </c>
      <c r="G722" s="4">
        <v>43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</row>
    <row r="723" spans="1:12">
      <c r="A723" s="3" t="s">
        <v>133</v>
      </c>
      <c r="B723" s="4">
        <v>12</v>
      </c>
      <c r="C723" s="4" t="s">
        <v>52</v>
      </c>
      <c r="D723" s="4">
        <v>23</v>
      </c>
      <c r="E723" s="4">
        <v>23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</row>
    <row r="724" spans="1:12">
      <c r="A724" s="3" t="s">
        <v>134</v>
      </c>
      <c r="B724" s="4">
        <v>1</v>
      </c>
      <c r="C724" s="4" t="s">
        <v>40</v>
      </c>
      <c r="D724" s="4">
        <v>24</v>
      </c>
      <c r="E724" s="4">
        <v>24</v>
      </c>
      <c r="F724" s="4">
        <v>21</v>
      </c>
      <c r="G724" s="4">
        <v>21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</row>
    <row r="725" spans="1:12">
      <c r="A725" s="3" t="s">
        <v>134</v>
      </c>
      <c r="B725" s="4">
        <v>2</v>
      </c>
      <c r="C725" s="4" t="s">
        <v>40</v>
      </c>
      <c r="D725" s="4">
        <v>10</v>
      </c>
      <c r="E725" s="4">
        <v>10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</row>
    <row r="726" spans="1:12">
      <c r="A726" s="3" t="s">
        <v>134</v>
      </c>
      <c r="B726" s="4">
        <v>3</v>
      </c>
      <c r="C726" s="4" t="s">
        <v>40</v>
      </c>
      <c r="D726" s="4">
        <v>0</v>
      </c>
      <c r="E726" s="4">
        <v>0</v>
      </c>
      <c r="F726" s="4">
        <v>1</v>
      </c>
      <c r="G726" s="4">
        <v>1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</row>
    <row r="727" spans="1:12">
      <c r="A727" s="3" t="s">
        <v>134</v>
      </c>
      <c r="B727" s="4">
        <v>4</v>
      </c>
      <c r="C727" s="4" t="s">
        <v>40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</row>
    <row r="728" spans="1:12">
      <c r="A728" s="3" t="s">
        <v>134</v>
      </c>
      <c r="B728" s="4">
        <v>5</v>
      </c>
      <c r="C728" s="4" t="s">
        <v>40</v>
      </c>
      <c r="D728" s="4">
        <v>60</v>
      </c>
      <c r="E728" s="4">
        <v>60</v>
      </c>
      <c r="F728" s="4">
        <v>26</v>
      </c>
      <c r="G728" s="4">
        <v>26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</row>
    <row r="729" spans="1:12">
      <c r="A729" s="3" t="s">
        <v>134</v>
      </c>
      <c r="B729" s="4">
        <v>6</v>
      </c>
      <c r="C729" s="4" t="s">
        <v>40</v>
      </c>
      <c r="D729" s="4">
        <v>4</v>
      </c>
      <c r="E729" s="4">
        <v>4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</row>
    <row r="730" spans="1:12">
      <c r="A730" s="3" t="s">
        <v>134</v>
      </c>
      <c r="B730" s="4">
        <v>7</v>
      </c>
      <c r="C730" s="4" t="s">
        <v>40</v>
      </c>
      <c r="D730" s="4">
        <v>32</v>
      </c>
      <c r="E730" s="4">
        <v>32</v>
      </c>
      <c r="F730" s="4">
        <v>1</v>
      </c>
      <c r="G730" s="4">
        <v>1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</row>
    <row r="731" spans="1:12">
      <c r="A731" s="3" t="s">
        <v>134</v>
      </c>
      <c r="B731" s="4">
        <v>8</v>
      </c>
      <c r="C731" s="4" t="s">
        <v>40</v>
      </c>
      <c r="D731" s="4">
        <v>43</v>
      </c>
      <c r="E731" s="4">
        <v>43</v>
      </c>
      <c r="F731" s="4">
        <v>1</v>
      </c>
      <c r="G731" s="4">
        <v>1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</row>
    <row r="732" spans="1:12">
      <c r="A732" s="3" t="s">
        <v>134</v>
      </c>
      <c r="B732" s="4">
        <v>9</v>
      </c>
      <c r="C732" s="4" t="s">
        <v>40</v>
      </c>
      <c r="D732" s="4">
        <v>60</v>
      </c>
      <c r="E732" s="4">
        <v>60</v>
      </c>
      <c r="F732" s="4">
        <v>21</v>
      </c>
      <c r="G732" s="4">
        <v>21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</row>
    <row r="733" spans="1:12">
      <c r="A733" s="3" t="s">
        <v>134</v>
      </c>
      <c r="B733" s="4">
        <v>10</v>
      </c>
      <c r="C733" s="4" t="s">
        <v>40</v>
      </c>
      <c r="D733" s="4">
        <v>24</v>
      </c>
      <c r="E733" s="4">
        <v>24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</row>
    <row r="734" spans="1:12">
      <c r="A734" s="3" t="s">
        <v>134</v>
      </c>
      <c r="B734" s="4">
        <v>11</v>
      </c>
      <c r="C734" s="4" t="s">
        <v>40</v>
      </c>
      <c r="D734" s="4">
        <v>60</v>
      </c>
      <c r="E734" s="4">
        <v>60</v>
      </c>
      <c r="F734" s="4">
        <v>29</v>
      </c>
      <c r="G734" s="4">
        <v>29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</row>
    <row r="735" spans="1:12">
      <c r="A735" s="3" t="s">
        <v>134</v>
      </c>
      <c r="B735" s="4">
        <v>12</v>
      </c>
      <c r="C735" s="4" t="s">
        <v>40</v>
      </c>
      <c r="D735" s="4">
        <v>18</v>
      </c>
      <c r="E735" s="4">
        <v>18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</row>
    <row r="736" spans="1:12">
      <c r="A736" s="3" t="s">
        <v>135</v>
      </c>
      <c r="B736" s="4">
        <v>1</v>
      </c>
      <c r="C736" s="4" t="s">
        <v>31</v>
      </c>
      <c r="D736" s="4">
        <v>96</v>
      </c>
      <c r="E736" s="4">
        <v>96</v>
      </c>
      <c r="F736" s="4">
        <v>173</v>
      </c>
      <c r="G736" s="4">
        <v>173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</row>
    <row r="737" spans="1:12">
      <c r="A737" s="3" t="s">
        <v>135</v>
      </c>
      <c r="B737" s="4">
        <v>2</v>
      </c>
      <c r="C737" s="4" t="s">
        <v>31</v>
      </c>
      <c r="D737" s="4">
        <v>0</v>
      </c>
      <c r="E737" s="4">
        <v>0</v>
      </c>
      <c r="F737" s="4">
        <v>3</v>
      </c>
      <c r="G737" s="4">
        <v>3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</row>
    <row r="738" spans="1:12">
      <c r="A738" s="3" t="s">
        <v>135</v>
      </c>
      <c r="B738" s="4">
        <v>3</v>
      </c>
      <c r="C738" s="4" t="s">
        <v>31</v>
      </c>
      <c r="D738" s="4">
        <v>0</v>
      </c>
      <c r="E738" s="4">
        <v>0</v>
      </c>
      <c r="F738" s="4">
        <v>4</v>
      </c>
      <c r="G738" s="4">
        <v>4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</row>
    <row r="739" spans="1:12">
      <c r="A739" s="3" t="s">
        <v>135</v>
      </c>
      <c r="B739" s="4">
        <v>4</v>
      </c>
      <c r="C739" s="4" t="s">
        <v>31</v>
      </c>
      <c r="D739" s="4">
        <v>0</v>
      </c>
      <c r="E739" s="4">
        <v>0</v>
      </c>
      <c r="F739" s="4">
        <v>3</v>
      </c>
      <c r="G739" s="4">
        <v>3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</row>
    <row r="740" spans="1:12">
      <c r="A740" s="3" t="s">
        <v>135</v>
      </c>
      <c r="B740" s="4">
        <v>5</v>
      </c>
      <c r="C740" s="4" t="s">
        <v>31</v>
      </c>
      <c r="D740" s="4">
        <v>144</v>
      </c>
      <c r="E740" s="4">
        <v>144</v>
      </c>
      <c r="F740" s="4">
        <v>112</v>
      </c>
      <c r="G740" s="4">
        <v>112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</row>
    <row r="741" spans="1:12">
      <c r="A741" s="3" t="s">
        <v>135</v>
      </c>
      <c r="B741" s="4">
        <v>6</v>
      </c>
      <c r="C741" s="4" t="s">
        <v>31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</row>
    <row r="742" spans="1:12">
      <c r="A742" s="3" t="s">
        <v>135</v>
      </c>
      <c r="B742" s="4">
        <v>7</v>
      </c>
      <c r="C742" s="4" t="s">
        <v>31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</row>
    <row r="743" spans="1:12">
      <c r="A743" s="3" t="s">
        <v>135</v>
      </c>
      <c r="B743" s="4">
        <v>8</v>
      </c>
      <c r="C743" s="4" t="s">
        <v>31</v>
      </c>
      <c r="D743" s="4">
        <v>0</v>
      </c>
      <c r="E743" s="4">
        <v>0</v>
      </c>
      <c r="F743" s="4">
        <v>1</v>
      </c>
      <c r="G743" s="4">
        <v>1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</row>
    <row r="744" spans="1:12">
      <c r="A744" s="3" t="s">
        <v>135</v>
      </c>
      <c r="B744" s="4">
        <v>9</v>
      </c>
      <c r="C744" s="4" t="s">
        <v>31</v>
      </c>
      <c r="D744" s="4">
        <v>150</v>
      </c>
      <c r="E744" s="4">
        <v>150</v>
      </c>
      <c r="F744" s="4">
        <v>101</v>
      </c>
      <c r="G744" s="4">
        <v>101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</row>
    <row r="745" spans="1:12">
      <c r="A745" s="3" t="s">
        <v>135</v>
      </c>
      <c r="B745" s="4">
        <v>10</v>
      </c>
      <c r="C745" s="4" t="s">
        <v>31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</row>
    <row r="746" spans="1:12">
      <c r="A746" s="3" t="s">
        <v>135</v>
      </c>
      <c r="B746" s="4">
        <v>11</v>
      </c>
      <c r="C746" s="4" t="s">
        <v>31</v>
      </c>
      <c r="D746" s="4">
        <v>120</v>
      </c>
      <c r="E746" s="4">
        <v>120</v>
      </c>
      <c r="F746" s="4">
        <v>63</v>
      </c>
      <c r="G746" s="4">
        <v>63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</row>
    <row r="747" spans="1:12">
      <c r="A747" s="3" t="s">
        <v>135</v>
      </c>
      <c r="B747" s="4">
        <v>12</v>
      </c>
      <c r="C747" s="4" t="s">
        <v>31</v>
      </c>
      <c r="D747" s="4">
        <v>0</v>
      </c>
      <c r="E747" s="4">
        <v>0</v>
      </c>
      <c r="F747" s="4">
        <v>1</v>
      </c>
      <c r="G747" s="4">
        <v>1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</row>
    <row r="748" spans="1:12">
      <c r="A748" s="3" t="s">
        <v>136</v>
      </c>
      <c r="B748" s="4">
        <v>9</v>
      </c>
      <c r="C748" s="4" t="s">
        <v>31</v>
      </c>
      <c r="D748" s="4">
        <v>210</v>
      </c>
      <c r="E748" s="4">
        <v>210</v>
      </c>
      <c r="F748" s="4">
        <v>157</v>
      </c>
      <c r="G748" s="4">
        <v>157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</row>
    <row r="749" spans="1:12">
      <c r="A749" s="3" t="s">
        <v>136</v>
      </c>
      <c r="B749" s="4">
        <v>10</v>
      </c>
      <c r="C749" s="4" t="s">
        <v>31</v>
      </c>
      <c r="D749" s="4">
        <v>5</v>
      </c>
      <c r="E749" s="4">
        <v>5</v>
      </c>
      <c r="F749" s="4">
        <v>9</v>
      </c>
      <c r="G749" s="4">
        <v>9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</row>
    <row r="750" spans="1:12">
      <c r="A750" s="3" t="s">
        <v>136</v>
      </c>
      <c r="B750" s="4">
        <v>11</v>
      </c>
      <c r="C750" s="4" t="s">
        <v>31</v>
      </c>
      <c r="D750" s="4">
        <v>180</v>
      </c>
      <c r="E750" s="4">
        <v>180</v>
      </c>
      <c r="F750" s="4">
        <v>58</v>
      </c>
      <c r="G750" s="4">
        <v>58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</row>
    <row r="751" spans="1:12">
      <c r="A751" s="3" t="s">
        <v>136</v>
      </c>
      <c r="B751" s="4">
        <v>12</v>
      </c>
      <c r="C751" s="4" t="s">
        <v>31</v>
      </c>
      <c r="D751" s="4">
        <v>0</v>
      </c>
      <c r="E751" s="4">
        <v>0</v>
      </c>
      <c r="F751" s="4">
        <v>1</v>
      </c>
      <c r="G751" s="4">
        <v>1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</row>
    <row r="752" spans="1:12">
      <c r="A752" s="3" t="s">
        <v>137</v>
      </c>
      <c r="B752" s="4">
        <v>1</v>
      </c>
      <c r="C752" s="4" t="s">
        <v>31</v>
      </c>
      <c r="D752" s="4">
        <v>7</v>
      </c>
      <c r="E752" s="4">
        <v>7</v>
      </c>
      <c r="F752" s="4">
        <v>4</v>
      </c>
      <c r="G752" s="4">
        <v>4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</row>
    <row r="753" spans="1:12">
      <c r="A753" s="3" t="s">
        <v>137</v>
      </c>
      <c r="B753" s="4">
        <v>2</v>
      </c>
      <c r="C753" s="4" t="s">
        <v>31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</row>
    <row r="754" spans="1:12">
      <c r="A754" s="3" t="s">
        <v>137</v>
      </c>
      <c r="B754" s="4">
        <v>3</v>
      </c>
      <c r="C754" s="4" t="s">
        <v>31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</row>
    <row r="755" spans="1:12">
      <c r="A755" s="3" t="s">
        <v>137</v>
      </c>
      <c r="B755" s="4">
        <v>4</v>
      </c>
      <c r="C755" s="4" t="s">
        <v>31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</row>
    <row r="756" spans="1:12">
      <c r="A756" s="3" t="s">
        <v>137</v>
      </c>
      <c r="B756" s="4">
        <v>5</v>
      </c>
      <c r="C756" s="4" t="s">
        <v>31</v>
      </c>
      <c r="D756" s="4">
        <v>0</v>
      </c>
      <c r="E756" s="4">
        <v>0</v>
      </c>
      <c r="F756" s="4">
        <v>10</v>
      </c>
      <c r="G756" s="4">
        <v>10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</row>
    <row r="757" spans="1:12">
      <c r="A757" s="3" t="s">
        <v>137</v>
      </c>
      <c r="B757" s="4">
        <v>6</v>
      </c>
      <c r="C757" s="4" t="s">
        <v>31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</row>
    <row r="758" spans="1:12">
      <c r="A758" s="3" t="s">
        <v>137</v>
      </c>
      <c r="B758" s="4">
        <v>7</v>
      </c>
      <c r="C758" s="4" t="s">
        <v>31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</row>
    <row r="759" spans="1:12">
      <c r="A759" s="3" t="s">
        <v>137</v>
      </c>
      <c r="B759" s="4">
        <v>8</v>
      </c>
      <c r="C759" s="4" t="s">
        <v>31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</row>
    <row r="760" spans="1:12">
      <c r="A760" s="3" t="s">
        <v>137</v>
      </c>
      <c r="B760" s="4">
        <v>9</v>
      </c>
      <c r="C760" s="4" t="s">
        <v>31</v>
      </c>
      <c r="D760" s="4">
        <v>0</v>
      </c>
      <c r="E760" s="4">
        <v>0</v>
      </c>
      <c r="F760" s="4">
        <v>1</v>
      </c>
      <c r="G760" s="4">
        <v>1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</row>
    <row r="761" spans="1:12">
      <c r="A761" s="3" t="s">
        <v>137</v>
      </c>
      <c r="B761" s="4">
        <v>10</v>
      </c>
      <c r="C761" s="4" t="s">
        <v>31</v>
      </c>
      <c r="D761" s="4">
        <v>1</v>
      </c>
      <c r="E761" s="4">
        <v>1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</row>
    <row r="762" spans="1:12">
      <c r="A762" s="3" t="s">
        <v>137</v>
      </c>
      <c r="B762" s="4">
        <v>11</v>
      </c>
      <c r="C762" s="4" t="s">
        <v>31</v>
      </c>
      <c r="D762" s="4">
        <v>1</v>
      </c>
      <c r="E762" s="4">
        <v>1</v>
      </c>
      <c r="F762" s="4">
        <v>2</v>
      </c>
      <c r="G762" s="4">
        <v>2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</row>
    <row r="763" spans="1:12">
      <c r="A763" s="3" t="s">
        <v>137</v>
      </c>
      <c r="B763" s="4">
        <v>12</v>
      </c>
      <c r="C763" s="4" t="s">
        <v>31</v>
      </c>
      <c r="D763" s="4">
        <v>1</v>
      </c>
      <c r="E763" s="4">
        <v>1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</row>
    <row r="764" spans="1:12">
      <c r="A764" s="3" t="s">
        <v>138</v>
      </c>
      <c r="B764" s="4">
        <v>1</v>
      </c>
      <c r="C764" s="4" t="s">
        <v>31</v>
      </c>
      <c r="D764" s="4">
        <v>72</v>
      </c>
      <c r="E764" s="4">
        <v>72</v>
      </c>
      <c r="F764" s="4">
        <v>73</v>
      </c>
      <c r="G764" s="4">
        <v>73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</row>
    <row r="765" spans="1:12">
      <c r="A765" s="3" t="s">
        <v>138</v>
      </c>
      <c r="B765" s="4">
        <v>2</v>
      </c>
      <c r="C765" s="4" t="s">
        <v>31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</row>
    <row r="766" spans="1:12">
      <c r="A766" s="3" t="s">
        <v>138</v>
      </c>
      <c r="B766" s="4">
        <v>3</v>
      </c>
      <c r="C766" s="4" t="s">
        <v>31</v>
      </c>
      <c r="D766" s="4">
        <v>1</v>
      </c>
      <c r="E766" s="4">
        <v>1</v>
      </c>
      <c r="F766" s="4">
        <v>1</v>
      </c>
      <c r="G766" s="4">
        <v>1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</row>
    <row r="767" spans="1:12">
      <c r="A767" s="3" t="s">
        <v>138</v>
      </c>
      <c r="B767" s="4">
        <v>4</v>
      </c>
      <c r="C767" s="4" t="s">
        <v>31</v>
      </c>
      <c r="D767" s="4">
        <v>0</v>
      </c>
      <c r="E767" s="4">
        <v>0</v>
      </c>
      <c r="F767" s="4">
        <v>2</v>
      </c>
      <c r="G767" s="4">
        <v>2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</row>
    <row r="768" spans="1:12">
      <c r="A768" s="3" t="s">
        <v>138</v>
      </c>
      <c r="B768" s="4">
        <v>5</v>
      </c>
      <c r="C768" s="4" t="s">
        <v>31</v>
      </c>
      <c r="D768" s="4">
        <v>84</v>
      </c>
      <c r="E768" s="4">
        <v>84</v>
      </c>
      <c r="F768" s="4">
        <v>56</v>
      </c>
      <c r="G768" s="4">
        <v>56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</row>
    <row r="769" spans="1:12">
      <c r="A769" s="3" t="s">
        <v>138</v>
      </c>
      <c r="B769" s="4">
        <v>6</v>
      </c>
      <c r="C769" s="4" t="s">
        <v>31</v>
      </c>
      <c r="D769" s="4">
        <v>8</v>
      </c>
      <c r="E769" s="4">
        <v>8</v>
      </c>
      <c r="F769" s="4">
        <v>2</v>
      </c>
      <c r="G769" s="4">
        <v>2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</row>
    <row r="770" spans="1:12">
      <c r="A770" s="3" t="s">
        <v>138</v>
      </c>
      <c r="B770" s="4">
        <v>7</v>
      </c>
      <c r="C770" s="4" t="s">
        <v>31</v>
      </c>
      <c r="D770" s="4">
        <v>2</v>
      </c>
      <c r="E770" s="4">
        <v>2</v>
      </c>
      <c r="F770" s="4">
        <v>1</v>
      </c>
      <c r="G770" s="4">
        <v>1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</row>
    <row r="771" spans="1:12">
      <c r="A771" s="3" t="s">
        <v>138</v>
      </c>
      <c r="B771" s="4">
        <v>8</v>
      </c>
      <c r="C771" s="4" t="s">
        <v>31</v>
      </c>
      <c r="D771" s="4">
        <v>1</v>
      </c>
      <c r="E771" s="4">
        <v>1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</row>
    <row r="772" spans="1:12">
      <c r="A772" s="3" t="s">
        <v>139</v>
      </c>
      <c r="B772" s="4">
        <v>1</v>
      </c>
      <c r="C772" s="4" t="s">
        <v>31</v>
      </c>
      <c r="D772" s="4">
        <v>72</v>
      </c>
      <c r="E772" s="4">
        <v>72</v>
      </c>
      <c r="F772" s="4">
        <v>51</v>
      </c>
      <c r="G772" s="4">
        <v>51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</row>
    <row r="773" spans="1:12">
      <c r="A773" s="3" t="s">
        <v>139</v>
      </c>
      <c r="B773" s="4">
        <v>2</v>
      </c>
      <c r="C773" s="4" t="s">
        <v>31</v>
      </c>
      <c r="D773" s="4">
        <v>22</v>
      </c>
      <c r="E773" s="4">
        <v>22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</row>
    <row r="774" spans="1:12">
      <c r="A774" s="3" t="s">
        <v>139</v>
      </c>
      <c r="B774" s="4">
        <v>3</v>
      </c>
      <c r="C774" s="4" t="s">
        <v>31</v>
      </c>
      <c r="D774" s="4">
        <v>10</v>
      </c>
      <c r="E774" s="4">
        <v>10</v>
      </c>
      <c r="F774" s="4">
        <v>1</v>
      </c>
      <c r="G774" s="4">
        <v>1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</row>
    <row r="775" spans="1:12">
      <c r="A775" s="3" t="s">
        <v>139</v>
      </c>
      <c r="B775" s="4">
        <v>4</v>
      </c>
      <c r="C775" s="4" t="s">
        <v>31</v>
      </c>
      <c r="D775" s="4">
        <v>2</v>
      </c>
      <c r="E775" s="4">
        <v>2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</row>
    <row r="776" spans="1:12">
      <c r="A776" s="3" t="s">
        <v>139</v>
      </c>
      <c r="B776" s="4">
        <v>5</v>
      </c>
      <c r="C776" s="4" t="s">
        <v>31</v>
      </c>
      <c r="D776" s="4">
        <v>30</v>
      </c>
      <c r="E776" s="4">
        <v>30</v>
      </c>
      <c r="F776" s="4">
        <v>50</v>
      </c>
      <c r="G776" s="4">
        <v>50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</row>
    <row r="777" spans="1:12">
      <c r="A777" s="3" t="s">
        <v>139</v>
      </c>
      <c r="B777" s="4">
        <v>6</v>
      </c>
      <c r="C777" s="4" t="s">
        <v>31</v>
      </c>
      <c r="D777" s="4">
        <v>14</v>
      </c>
      <c r="E777" s="4">
        <v>14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</row>
    <row r="778" spans="1:12">
      <c r="A778" s="3" t="s">
        <v>139</v>
      </c>
      <c r="B778" s="4">
        <v>7</v>
      </c>
      <c r="C778" s="4" t="s">
        <v>31</v>
      </c>
      <c r="D778" s="4">
        <v>15</v>
      </c>
      <c r="E778" s="4">
        <v>15</v>
      </c>
      <c r="F778" s="4">
        <v>1</v>
      </c>
      <c r="G778" s="4">
        <v>1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</row>
    <row r="779" spans="1:12">
      <c r="A779" s="3" t="s">
        <v>139</v>
      </c>
      <c r="B779" s="4">
        <v>8</v>
      </c>
      <c r="C779" s="4" t="s">
        <v>31</v>
      </c>
      <c r="D779" s="4">
        <v>12</v>
      </c>
      <c r="E779" s="4">
        <v>12</v>
      </c>
      <c r="F779" s="4">
        <v>1</v>
      </c>
      <c r="G779" s="4">
        <v>1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</row>
    <row r="780" spans="1:12">
      <c r="A780" s="3" t="s">
        <v>140</v>
      </c>
      <c r="B780" s="4">
        <v>1</v>
      </c>
      <c r="C780" s="4" t="s">
        <v>31</v>
      </c>
      <c r="D780" s="4">
        <v>72</v>
      </c>
      <c r="E780" s="4">
        <v>72</v>
      </c>
      <c r="F780" s="4">
        <v>108</v>
      </c>
      <c r="G780" s="4">
        <v>108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</row>
    <row r="781" spans="1:12">
      <c r="A781" s="3" t="s">
        <v>140</v>
      </c>
      <c r="B781" s="4">
        <v>2</v>
      </c>
      <c r="C781" s="4" t="s">
        <v>31</v>
      </c>
      <c r="D781" s="4">
        <v>3</v>
      </c>
      <c r="E781" s="4">
        <v>3</v>
      </c>
      <c r="F781" s="4">
        <v>1</v>
      </c>
      <c r="G781" s="4">
        <v>1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</row>
    <row r="782" spans="1:12">
      <c r="A782" s="3" t="s">
        <v>140</v>
      </c>
      <c r="B782" s="4">
        <v>3</v>
      </c>
      <c r="C782" s="4" t="s">
        <v>31</v>
      </c>
      <c r="D782" s="4">
        <v>4</v>
      </c>
      <c r="E782" s="4">
        <v>4</v>
      </c>
      <c r="F782" s="4">
        <v>2</v>
      </c>
      <c r="G782" s="4">
        <v>2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</row>
    <row r="783" spans="1:12">
      <c r="A783" s="3" t="s">
        <v>140</v>
      </c>
      <c r="B783" s="4">
        <v>4</v>
      </c>
      <c r="C783" s="4" t="s">
        <v>31</v>
      </c>
      <c r="D783" s="4">
        <v>1</v>
      </c>
      <c r="E783" s="4">
        <v>1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</row>
    <row r="784" spans="1:12">
      <c r="A784" s="3" t="s">
        <v>141</v>
      </c>
      <c r="B784" s="4">
        <v>1</v>
      </c>
      <c r="C784" s="4" t="s">
        <v>31</v>
      </c>
      <c r="D784" s="4">
        <v>72</v>
      </c>
      <c r="E784" s="4">
        <v>72</v>
      </c>
      <c r="F784" s="4">
        <v>60</v>
      </c>
      <c r="G784" s="4">
        <v>60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</row>
    <row r="785" spans="1:12">
      <c r="A785" s="3" t="s">
        <v>141</v>
      </c>
      <c r="B785" s="4">
        <v>2</v>
      </c>
      <c r="C785" s="4" t="s">
        <v>31</v>
      </c>
      <c r="D785" s="4">
        <v>1</v>
      </c>
      <c r="E785" s="4">
        <v>1</v>
      </c>
      <c r="F785" s="4">
        <v>1</v>
      </c>
      <c r="G785" s="4">
        <v>1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</row>
    <row r="786" spans="1:12">
      <c r="A786" s="3" t="s">
        <v>141</v>
      </c>
      <c r="B786" s="4">
        <v>3</v>
      </c>
      <c r="C786" s="4" t="s">
        <v>31</v>
      </c>
      <c r="D786" s="4">
        <v>0</v>
      </c>
      <c r="E786" s="4">
        <v>0</v>
      </c>
      <c r="F786" s="4">
        <v>2</v>
      </c>
      <c r="G786" s="4">
        <v>2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</row>
    <row r="787" spans="1:12">
      <c r="A787" s="3" t="s">
        <v>141</v>
      </c>
      <c r="B787" s="4">
        <v>4</v>
      </c>
      <c r="C787" s="4" t="s">
        <v>31</v>
      </c>
      <c r="D787" s="4">
        <v>1</v>
      </c>
      <c r="E787" s="4">
        <v>1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</row>
    <row r="788" spans="1:12">
      <c r="A788" s="3" t="s">
        <v>142</v>
      </c>
      <c r="B788" s="4">
        <v>1</v>
      </c>
      <c r="C788" s="4" t="s">
        <v>31</v>
      </c>
      <c r="D788" s="4">
        <v>48</v>
      </c>
      <c r="E788" s="4">
        <v>48</v>
      </c>
      <c r="F788" s="4">
        <v>36</v>
      </c>
      <c r="G788" s="4">
        <v>36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</row>
    <row r="789" spans="1:12">
      <c r="A789" s="3" t="s">
        <v>142</v>
      </c>
      <c r="B789" s="4">
        <v>2</v>
      </c>
      <c r="C789" s="4" t="s">
        <v>31</v>
      </c>
      <c r="D789" s="4">
        <v>10</v>
      </c>
      <c r="E789" s="4">
        <v>10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</row>
    <row r="790" spans="1:12">
      <c r="A790" s="3" t="s">
        <v>142</v>
      </c>
      <c r="B790" s="4">
        <v>3</v>
      </c>
      <c r="C790" s="4" t="s">
        <v>31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</row>
    <row r="791" spans="1:12">
      <c r="A791" s="3" t="s">
        <v>142</v>
      </c>
      <c r="B791" s="4">
        <v>4</v>
      </c>
      <c r="C791" s="4" t="s">
        <v>31</v>
      </c>
      <c r="D791" s="4">
        <v>3</v>
      </c>
      <c r="E791" s="4">
        <v>3</v>
      </c>
      <c r="F791" s="4">
        <v>1</v>
      </c>
      <c r="G791" s="4">
        <v>1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</row>
    <row r="792" spans="1:12">
      <c r="A792" s="3" t="s">
        <v>143</v>
      </c>
      <c r="B792" s="4">
        <v>1</v>
      </c>
      <c r="C792" s="4" t="s">
        <v>52</v>
      </c>
      <c r="D792" s="4">
        <v>48</v>
      </c>
      <c r="E792" s="4">
        <v>48</v>
      </c>
      <c r="F792" s="4">
        <v>67</v>
      </c>
      <c r="G792" s="4">
        <v>67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</row>
    <row r="793" spans="1:12">
      <c r="A793" s="3" t="s">
        <v>143</v>
      </c>
      <c r="B793" s="4">
        <v>2</v>
      </c>
      <c r="C793" s="4" t="s">
        <v>52</v>
      </c>
      <c r="D793" s="4">
        <v>24</v>
      </c>
      <c r="E793" s="4">
        <v>24</v>
      </c>
      <c r="F793" s="4">
        <v>1</v>
      </c>
      <c r="G793" s="4">
        <v>1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</row>
    <row r="794" spans="1:12">
      <c r="A794" s="3" t="s">
        <v>143</v>
      </c>
      <c r="B794" s="4">
        <v>3</v>
      </c>
      <c r="C794" s="4" t="s">
        <v>52</v>
      </c>
      <c r="D794" s="4">
        <v>12</v>
      </c>
      <c r="E794" s="4">
        <v>12</v>
      </c>
      <c r="F794" s="4">
        <v>4</v>
      </c>
      <c r="G794" s="4">
        <v>4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</row>
    <row r="795" spans="1:12">
      <c r="A795" s="3" t="s">
        <v>143</v>
      </c>
      <c r="B795" s="4">
        <v>4</v>
      </c>
      <c r="C795" s="4" t="s">
        <v>52</v>
      </c>
      <c r="D795" s="4">
        <v>10</v>
      </c>
      <c r="E795" s="4">
        <v>10</v>
      </c>
      <c r="F795" s="4">
        <v>4</v>
      </c>
      <c r="G795" s="4">
        <v>4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</row>
    <row r="796" spans="1:12">
      <c r="A796" s="3" t="s">
        <v>143</v>
      </c>
      <c r="B796" s="4">
        <v>5</v>
      </c>
      <c r="C796" s="4" t="s">
        <v>52</v>
      </c>
      <c r="D796" s="4">
        <v>120</v>
      </c>
      <c r="E796" s="4">
        <v>120</v>
      </c>
      <c r="F796" s="4">
        <v>61</v>
      </c>
      <c r="G796" s="4">
        <v>61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</row>
    <row r="797" spans="1:12">
      <c r="A797" s="3" t="s">
        <v>143</v>
      </c>
      <c r="B797" s="4">
        <v>6</v>
      </c>
      <c r="C797" s="4" t="s">
        <v>52</v>
      </c>
      <c r="D797" s="4">
        <v>11</v>
      </c>
      <c r="E797" s="4">
        <v>11</v>
      </c>
      <c r="F797" s="4">
        <v>3</v>
      </c>
      <c r="G797" s="4">
        <v>3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</row>
    <row r="798" spans="1:12">
      <c r="A798" s="3" t="s">
        <v>143</v>
      </c>
      <c r="B798" s="4">
        <v>7</v>
      </c>
      <c r="C798" s="4" t="s">
        <v>52</v>
      </c>
      <c r="D798" s="4">
        <v>13</v>
      </c>
      <c r="E798" s="4">
        <v>13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</row>
    <row r="799" spans="1:12">
      <c r="A799" s="3" t="s">
        <v>143</v>
      </c>
      <c r="B799" s="4">
        <v>8</v>
      </c>
      <c r="C799" s="4" t="s">
        <v>52</v>
      </c>
      <c r="D799" s="4">
        <v>1</v>
      </c>
      <c r="E799" s="4">
        <v>1</v>
      </c>
      <c r="F799" s="4">
        <v>3</v>
      </c>
      <c r="G799" s="4">
        <v>3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</row>
    <row r="800" spans="1:12">
      <c r="A800" s="3" t="s">
        <v>143</v>
      </c>
      <c r="B800" s="4">
        <v>9</v>
      </c>
      <c r="C800" s="4" t="s">
        <v>52</v>
      </c>
      <c r="D800" s="4">
        <v>90</v>
      </c>
      <c r="E800" s="4">
        <v>90</v>
      </c>
      <c r="F800" s="4">
        <v>30</v>
      </c>
      <c r="G800" s="4">
        <v>30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</row>
    <row r="801" spans="1:12">
      <c r="A801" s="3" t="s">
        <v>143</v>
      </c>
      <c r="B801" s="4">
        <v>10</v>
      </c>
      <c r="C801" s="4" t="s">
        <v>52</v>
      </c>
      <c r="D801" s="4">
        <v>12</v>
      </c>
      <c r="E801" s="4">
        <v>12</v>
      </c>
      <c r="F801" s="4">
        <v>1</v>
      </c>
      <c r="G801" s="4">
        <v>1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</row>
    <row r="802" spans="1:12">
      <c r="A802" s="3" t="s">
        <v>144</v>
      </c>
      <c r="B802" s="4">
        <v>9</v>
      </c>
      <c r="C802" s="4" t="s">
        <v>31</v>
      </c>
      <c r="D802" s="4">
        <v>50</v>
      </c>
      <c r="E802" s="4">
        <v>50</v>
      </c>
      <c r="F802" s="4">
        <v>1</v>
      </c>
      <c r="G802" s="4">
        <v>1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</row>
    <row r="803" spans="1:12">
      <c r="A803" s="3" t="s">
        <v>144</v>
      </c>
      <c r="B803" s="4">
        <v>10</v>
      </c>
      <c r="C803" s="4" t="s">
        <v>31</v>
      </c>
      <c r="D803" s="4">
        <v>60</v>
      </c>
      <c r="E803" s="4">
        <v>60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</row>
    <row r="804" spans="1:12">
      <c r="A804" s="3" t="s">
        <v>144</v>
      </c>
      <c r="B804" s="4">
        <v>11</v>
      </c>
      <c r="C804" s="4" t="s">
        <v>31</v>
      </c>
      <c r="D804" s="4">
        <v>110</v>
      </c>
      <c r="E804" s="4">
        <v>110</v>
      </c>
      <c r="F804" s="4">
        <v>3</v>
      </c>
      <c r="G804" s="4">
        <v>3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</row>
    <row r="805" spans="1:12">
      <c r="A805" s="3" t="s">
        <v>144</v>
      </c>
      <c r="B805" s="4">
        <v>12</v>
      </c>
      <c r="C805" s="4" t="s">
        <v>31</v>
      </c>
      <c r="D805" s="4">
        <v>170</v>
      </c>
      <c r="E805" s="4">
        <v>170</v>
      </c>
      <c r="F805" s="4">
        <v>2</v>
      </c>
      <c r="G805" s="4">
        <v>2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</row>
    <row r="806" spans="1:12">
      <c r="A806" s="3" t="s">
        <v>145</v>
      </c>
      <c r="B806" s="4">
        <v>1</v>
      </c>
      <c r="C806" s="4" t="s">
        <v>31</v>
      </c>
      <c r="D806" s="4">
        <v>96</v>
      </c>
      <c r="E806" s="4">
        <v>96</v>
      </c>
      <c r="F806" s="4">
        <v>104</v>
      </c>
      <c r="G806" s="4">
        <v>104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</row>
    <row r="807" spans="1:12">
      <c r="A807" s="3" t="s">
        <v>145</v>
      </c>
      <c r="B807" s="4">
        <v>2</v>
      </c>
      <c r="C807" s="4" t="s">
        <v>31</v>
      </c>
      <c r="D807" s="4">
        <v>10</v>
      </c>
      <c r="E807" s="4">
        <v>10</v>
      </c>
      <c r="F807" s="4">
        <v>1</v>
      </c>
      <c r="G807" s="4">
        <v>1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</row>
    <row r="808" spans="1:12">
      <c r="A808" s="3" t="s">
        <v>145</v>
      </c>
      <c r="B808" s="4">
        <v>3</v>
      </c>
      <c r="C808" s="4" t="s">
        <v>31</v>
      </c>
      <c r="D808" s="4">
        <v>0</v>
      </c>
      <c r="E808" s="4">
        <v>0</v>
      </c>
      <c r="F808" s="4">
        <v>2</v>
      </c>
      <c r="G808" s="4">
        <v>2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</row>
    <row r="809" spans="1:12">
      <c r="A809" s="3" t="s">
        <v>145</v>
      </c>
      <c r="B809" s="4">
        <v>4</v>
      </c>
      <c r="C809" s="4" t="s">
        <v>31</v>
      </c>
      <c r="D809" s="4">
        <v>0</v>
      </c>
      <c r="E809" s="4">
        <v>0</v>
      </c>
      <c r="F809" s="4">
        <v>1</v>
      </c>
      <c r="G809" s="4">
        <v>1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</row>
    <row r="810" spans="1:12">
      <c r="A810" s="3" t="s">
        <v>146</v>
      </c>
      <c r="B810" s="4">
        <v>1</v>
      </c>
      <c r="C810" s="4" t="s">
        <v>31</v>
      </c>
      <c r="D810" s="4">
        <v>24</v>
      </c>
      <c r="E810" s="4">
        <v>24</v>
      </c>
      <c r="F810" s="4">
        <v>3</v>
      </c>
      <c r="G810" s="4">
        <v>3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</row>
    <row r="811" spans="1:12">
      <c r="A811" s="3" t="s">
        <v>146</v>
      </c>
      <c r="B811" s="4">
        <v>1</v>
      </c>
      <c r="C811" s="4" t="s">
        <v>52</v>
      </c>
      <c r="D811" s="4">
        <v>48</v>
      </c>
      <c r="E811" s="4">
        <v>48</v>
      </c>
      <c r="F811" s="4">
        <v>31</v>
      </c>
      <c r="G811" s="4">
        <v>31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</row>
    <row r="812" spans="1:12">
      <c r="A812" s="3" t="s">
        <v>146</v>
      </c>
      <c r="B812" s="4">
        <v>2</v>
      </c>
      <c r="C812" s="4" t="s">
        <v>52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</row>
    <row r="813" spans="1:12">
      <c r="A813" s="3" t="s">
        <v>146</v>
      </c>
      <c r="B813" s="4">
        <v>3</v>
      </c>
      <c r="C813" s="4" t="s">
        <v>52</v>
      </c>
      <c r="D813" s="4">
        <v>2</v>
      </c>
      <c r="E813" s="4">
        <v>2</v>
      </c>
      <c r="F813" s="4">
        <v>1</v>
      </c>
      <c r="G813" s="4">
        <v>1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</row>
    <row r="814" spans="1:12">
      <c r="A814" s="3" t="s">
        <v>146</v>
      </c>
      <c r="B814" s="4">
        <v>4</v>
      </c>
      <c r="C814" s="4" t="s">
        <v>52</v>
      </c>
      <c r="D814" s="4">
        <v>1</v>
      </c>
      <c r="E814" s="4">
        <v>1</v>
      </c>
      <c r="F814" s="4">
        <v>1</v>
      </c>
      <c r="G814" s="4">
        <v>1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</row>
    <row r="815" spans="1:12">
      <c r="A815" s="3" t="s">
        <v>146</v>
      </c>
      <c r="B815" s="4">
        <v>5</v>
      </c>
      <c r="C815" s="4" t="s">
        <v>52</v>
      </c>
      <c r="D815" s="4">
        <v>90</v>
      </c>
      <c r="E815" s="4">
        <v>90</v>
      </c>
      <c r="F815" s="4">
        <v>51</v>
      </c>
      <c r="G815" s="4">
        <v>51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</row>
    <row r="816" spans="1:12">
      <c r="A816" s="3" t="s">
        <v>146</v>
      </c>
      <c r="B816" s="4">
        <v>6</v>
      </c>
      <c r="C816" s="4" t="s">
        <v>52</v>
      </c>
      <c r="D816" s="4">
        <v>1</v>
      </c>
      <c r="E816" s="4">
        <v>1</v>
      </c>
      <c r="F816" s="4">
        <v>1</v>
      </c>
      <c r="G816" s="4">
        <v>1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</row>
    <row r="817" spans="1:12">
      <c r="A817" s="3" t="s">
        <v>146</v>
      </c>
      <c r="B817" s="4">
        <v>7</v>
      </c>
      <c r="C817" s="4" t="s">
        <v>52</v>
      </c>
      <c r="D817" s="4">
        <v>16</v>
      </c>
      <c r="E817" s="4">
        <v>16</v>
      </c>
      <c r="F817" s="4">
        <v>1</v>
      </c>
      <c r="G817" s="4">
        <v>1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</row>
    <row r="818" spans="1:12">
      <c r="A818" s="3" t="s">
        <v>146</v>
      </c>
      <c r="B818" s="4">
        <v>8</v>
      </c>
      <c r="C818" s="4" t="s">
        <v>52</v>
      </c>
      <c r="D818" s="4">
        <v>14</v>
      </c>
      <c r="E818" s="4">
        <v>14</v>
      </c>
      <c r="F818" s="4">
        <v>1</v>
      </c>
      <c r="G818" s="4">
        <v>1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</row>
    <row r="819" spans="1:12">
      <c r="A819" s="3" t="s">
        <v>146</v>
      </c>
      <c r="B819" s="4">
        <v>9</v>
      </c>
      <c r="C819" s="4" t="s">
        <v>52</v>
      </c>
      <c r="D819" s="4">
        <v>90</v>
      </c>
      <c r="E819" s="4">
        <v>90</v>
      </c>
      <c r="F819" s="4">
        <v>52</v>
      </c>
      <c r="G819" s="4">
        <v>52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</row>
    <row r="820" spans="1:12">
      <c r="A820" s="3" t="s">
        <v>146</v>
      </c>
      <c r="B820" s="4">
        <v>10</v>
      </c>
      <c r="C820" s="4" t="s">
        <v>52</v>
      </c>
      <c r="D820" s="4">
        <v>13</v>
      </c>
      <c r="E820" s="4">
        <v>13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</row>
    <row r="821" spans="1:12">
      <c r="A821" s="3" t="s">
        <v>146</v>
      </c>
      <c r="B821" s="4">
        <v>11</v>
      </c>
      <c r="C821" s="4" t="s">
        <v>52</v>
      </c>
      <c r="D821" s="4">
        <v>60</v>
      </c>
      <c r="E821" s="4">
        <v>60</v>
      </c>
      <c r="F821" s="4">
        <v>34</v>
      </c>
      <c r="G821" s="4">
        <v>34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</row>
    <row r="822" spans="1:12">
      <c r="A822" s="3" t="s">
        <v>146</v>
      </c>
      <c r="B822" s="4">
        <v>12</v>
      </c>
      <c r="C822" s="4" t="s">
        <v>52</v>
      </c>
      <c r="D822" s="4">
        <v>2</v>
      </c>
      <c r="E822" s="4">
        <v>2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</row>
    <row r="823" spans="1:12">
      <c r="A823" s="3" t="s">
        <v>147</v>
      </c>
      <c r="B823" s="4">
        <v>1</v>
      </c>
      <c r="C823" s="4" t="s">
        <v>31</v>
      </c>
      <c r="D823" s="4">
        <v>96</v>
      </c>
      <c r="E823" s="4">
        <v>96</v>
      </c>
      <c r="F823" s="4">
        <v>92</v>
      </c>
      <c r="G823" s="4">
        <v>92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</row>
    <row r="824" spans="1:12">
      <c r="A824" s="3" t="s">
        <v>147</v>
      </c>
      <c r="B824" s="4">
        <v>2</v>
      </c>
      <c r="C824" s="4" t="s">
        <v>31</v>
      </c>
      <c r="D824" s="4">
        <v>19</v>
      </c>
      <c r="E824" s="4">
        <v>19</v>
      </c>
      <c r="F824" s="4">
        <v>1</v>
      </c>
      <c r="G824" s="4">
        <v>1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</row>
    <row r="825" spans="1:12">
      <c r="A825" s="3" t="s">
        <v>147</v>
      </c>
      <c r="B825" s="4">
        <v>3</v>
      </c>
      <c r="C825" s="4" t="s">
        <v>31</v>
      </c>
      <c r="D825" s="4">
        <v>5</v>
      </c>
      <c r="E825" s="4">
        <v>5</v>
      </c>
      <c r="F825" s="4">
        <v>1</v>
      </c>
      <c r="G825" s="4">
        <v>1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</row>
    <row r="826" spans="1:12">
      <c r="A826" s="3" t="s">
        <v>147</v>
      </c>
      <c r="B826" s="4">
        <v>4</v>
      </c>
      <c r="C826" s="4" t="s">
        <v>31</v>
      </c>
      <c r="D826" s="4">
        <v>1</v>
      </c>
      <c r="E826" s="4">
        <v>1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</row>
    <row r="827" spans="1:12">
      <c r="A827" s="3" t="s">
        <v>148</v>
      </c>
      <c r="B827" s="4">
        <v>9</v>
      </c>
      <c r="C827" s="4" t="s">
        <v>31</v>
      </c>
      <c r="D827" s="4">
        <v>30</v>
      </c>
      <c r="E827" s="4">
        <v>30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</row>
    <row r="828" spans="1:12">
      <c r="A828" s="3" t="s">
        <v>148</v>
      </c>
      <c r="B828" s="4">
        <v>10</v>
      </c>
      <c r="C828" s="4" t="s">
        <v>31</v>
      </c>
      <c r="D828" s="4">
        <v>19</v>
      </c>
      <c r="E828" s="4">
        <v>19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</row>
    <row r="829" spans="1:12">
      <c r="A829" s="3" t="s">
        <v>148</v>
      </c>
      <c r="B829" s="4">
        <v>11</v>
      </c>
      <c r="C829" s="4" t="s">
        <v>31</v>
      </c>
      <c r="D829" s="4">
        <v>100</v>
      </c>
      <c r="E829" s="4">
        <v>99</v>
      </c>
      <c r="F829" s="4">
        <v>2</v>
      </c>
      <c r="G829" s="4">
        <v>1</v>
      </c>
      <c r="H829" s="4">
        <v>0</v>
      </c>
      <c r="I829" s="4">
        <v>0</v>
      </c>
      <c r="J829" s="4">
        <v>1</v>
      </c>
      <c r="K829" s="4">
        <v>0</v>
      </c>
      <c r="L829" s="4">
        <v>1</v>
      </c>
    </row>
    <row r="830" spans="1:12">
      <c r="A830" s="3" t="s">
        <v>148</v>
      </c>
      <c r="B830" s="4">
        <v>12</v>
      </c>
      <c r="C830" s="4" t="s">
        <v>31</v>
      </c>
      <c r="D830" s="4">
        <v>113</v>
      </c>
      <c r="E830" s="4">
        <v>113</v>
      </c>
      <c r="F830" s="4">
        <v>2</v>
      </c>
      <c r="G830" s="4">
        <v>2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</row>
    <row r="831" spans="1:12">
      <c r="A831" s="3" t="s">
        <v>149</v>
      </c>
      <c r="B831" s="4">
        <v>1</v>
      </c>
      <c r="C831" s="4" t="s">
        <v>31</v>
      </c>
      <c r="D831" s="4">
        <v>72</v>
      </c>
      <c r="E831" s="4">
        <v>72</v>
      </c>
      <c r="F831" s="4">
        <v>92</v>
      </c>
      <c r="G831" s="4">
        <v>92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</row>
    <row r="832" spans="1:12">
      <c r="A832" s="3" t="s">
        <v>149</v>
      </c>
      <c r="B832" s="4">
        <v>2</v>
      </c>
      <c r="C832" s="4" t="s">
        <v>31</v>
      </c>
      <c r="D832" s="4">
        <v>14</v>
      </c>
      <c r="E832" s="4">
        <v>14</v>
      </c>
      <c r="F832" s="4">
        <v>1</v>
      </c>
      <c r="G832" s="4">
        <v>1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</row>
    <row r="833" spans="1:12">
      <c r="A833" s="3" t="s">
        <v>149</v>
      </c>
      <c r="B833" s="4">
        <v>3</v>
      </c>
      <c r="C833" s="4" t="s">
        <v>31</v>
      </c>
      <c r="D833" s="4">
        <v>0</v>
      </c>
      <c r="E833" s="4">
        <v>0</v>
      </c>
      <c r="F833" s="4">
        <v>1</v>
      </c>
      <c r="G833" s="4">
        <v>1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</row>
    <row r="834" spans="1:12">
      <c r="A834" s="3" t="s">
        <v>149</v>
      </c>
      <c r="B834" s="4">
        <v>4</v>
      </c>
      <c r="C834" s="4" t="s">
        <v>31</v>
      </c>
      <c r="D834" s="4">
        <v>5</v>
      </c>
      <c r="E834" s="4">
        <v>5</v>
      </c>
      <c r="F834" s="4">
        <v>3</v>
      </c>
      <c r="G834" s="4">
        <v>3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</row>
    <row r="835" spans="1:12">
      <c r="A835" s="3" t="s">
        <v>150</v>
      </c>
      <c r="B835" s="4">
        <v>9</v>
      </c>
      <c r="C835" s="4" t="s">
        <v>52</v>
      </c>
      <c r="D835" s="4">
        <v>90</v>
      </c>
      <c r="E835" s="4">
        <v>90</v>
      </c>
      <c r="F835" s="4">
        <v>81</v>
      </c>
      <c r="G835" s="4">
        <v>81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</row>
    <row r="836" spans="1:12">
      <c r="A836" s="3" t="s">
        <v>150</v>
      </c>
      <c r="B836" s="4">
        <v>10</v>
      </c>
      <c r="C836" s="4" t="s">
        <v>52</v>
      </c>
      <c r="D836" s="4">
        <v>32</v>
      </c>
      <c r="E836" s="4">
        <v>32</v>
      </c>
      <c r="F836" s="4">
        <v>1</v>
      </c>
      <c r="G836" s="4">
        <v>1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</row>
    <row r="837" spans="1:12">
      <c r="A837" s="3" t="s">
        <v>150</v>
      </c>
      <c r="B837" s="4">
        <v>11</v>
      </c>
      <c r="C837" s="4" t="s">
        <v>52</v>
      </c>
      <c r="D837" s="4">
        <v>120</v>
      </c>
      <c r="E837" s="4">
        <v>120</v>
      </c>
      <c r="F837" s="4">
        <v>70</v>
      </c>
      <c r="G837" s="4">
        <v>70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</row>
    <row r="838" spans="1:12">
      <c r="A838" s="3" t="s">
        <v>150</v>
      </c>
      <c r="B838" s="4">
        <v>12</v>
      </c>
      <c r="C838" s="4" t="s">
        <v>52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</row>
    <row r="839" spans="1:12">
      <c r="A839" s="3" t="s">
        <v>151</v>
      </c>
      <c r="B839" s="4">
        <v>1</v>
      </c>
      <c r="C839" s="4" t="s">
        <v>31</v>
      </c>
      <c r="D839" s="4">
        <v>96</v>
      </c>
      <c r="E839" s="4">
        <v>96</v>
      </c>
      <c r="F839" s="4">
        <v>113</v>
      </c>
      <c r="G839" s="4">
        <v>113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</row>
    <row r="840" spans="1:12">
      <c r="A840" s="3" t="s">
        <v>151</v>
      </c>
      <c r="B840" s="4">
        <v>2</v>
      </c>
      <c r="C840" s="4" t="s">
        <v>31</v>
      </c>
      <c r="D840" s="4">
        <v>0</v>
      </c>
      <c r="E840" s="4">
        <v>0</v>
      </c>
      <c r="F840" s="4">
        <v>1</v>
      </c>
      <c r="G840" s="4">
        <v>1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</row>
    <row r="841" spans="1:12">
      <c r="A841" s="3" t="s">
        <v>151</v>
      </c>
      <c r="B841" s="4">
        <v>3</v>
      </c>
      <c r="C841" s="4" t="s">
        <v>31</v>
      </c>
      <c r="D841" s="4">
        <v>3</v>
      </c>
      <c r="E841" s="4">
        <v>3</v>
      </c>
      <c r="F841" s="4">
        <v>2</v>
      </c>
      <c r="G841" s="4">
        <v>2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</row>
    <row r="842" spans="1:12">
      <c r="A842" s="3" t="s">
        <v>151</v>
      </c>
      <c r="B842" s="4">
        <v>4</v>
      </c>
      <c r="C842" s="4" t="s">
        <v>31</v>
      </c>
      <c r="D842" s="4">
        <v>2</v>
      </c>
      <c r="E842" s="4">
        <v>2</v>
      </c>
      <c r="F842" s="4">
        <v>2</v>
      </c>
      <c r="G842" s="4">
        <v>2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</row>
    <row r="843" spans="1:12">
      <c r="A843" s="3" t="s">
        <v>151</v>
      </c>
      <c r="B843" s="4">
        <v>5</v>
      </c>
      <c r="C843" s="4" t="s">
        <v>31</v>
      </c>
      <c r="D843" s="4">
        <v>112</v>
      </c>
      <c r="E843" s="4">
        <v>112</v>
      </c>
      <c r="F843" s="4">
        <v>145</v>
      </c>
      <c r="G843" s="4">
        <v>145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</row>
    <row r="844" spans="1:12">
      <c r="A844" s="3" t="s">
        <v>151</v>
      </c>
      <c r="B844" s="4">
        <v>6</v>
      </c>
      <c r="C844" s="4" t="s">
        <v>31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</row>
    <row r="845" spans="1:12">
      <c r="A845" s="3" t="s">
        <v>151</v>
      </c>
      <c r="B845" s="4">
        <v>7</v>
      </c>
      <c r="C845" s="4" t="s">
        <v>31</v>
      </c>
      <c r="D845" s="4">
        <v>8</v>
      </c>
      <c r="E845" s="4">
        <v>8</v>
      </c>
      <c r="F845" s="4">
        <v>1</v>
      </c>
      <c r="G845" s="4">
        <v>1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</row>
    <row r="846" spans="1:12">
      <c r="A846" s="3" t="s">
        <v>151</v>
      </c>
      <c r="B846" s="4">
        <v>8</v>
      </c>
      <c r="C846" s="4" t="s">
        <v>31</v>
      </c>
      <c r="D846" s="4">
        <v>4</v>
      </c>
      <c r="E846" s="4">
        <v>4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</row>
    <row r="847" spans="1:12">
      <c r="A847" s="3" t="s">
        <v>152</v>
      </c>
      <c r="B847" s="4">
        <v>1</v>
      </c>
      <c r="C847" s="4" t="s">
        <v>52</v>
      </c>
      <c r="D847" s="4">
        <v>48</v>
      </c>
      <c r="E847" s="4">
        <v>48</v>
      </c>
      <c r="F847" s="4">
        <v>38</v>
      </c>
      <c r="G847" s="4">
        <v>38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</row>
    <row r="848" spans="1:12">
      <c r="A848" s="3" t="s">
        <v>152</v>
      </c>
      <c r="B848" s="4">
        <v>2</v>
      </c>
      <c r="C848" s="4" t="s">
        <v>52</v>
      </c>
      <c r="D848" s="4">
        <v>11</v>
      </c>
      <c r="E848" s="4">
        <v>11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</row>
    <row r="849" spans="1:12">
      <c r="A849" s="3" t="s">
        <v>152</v>
      </c>
      <c r="B849" s="4">
        <v>3</v>
      </c>
      <c r="C849" s="4" t="s">
        <v>52</v>
      </c>
      <c r="D849" s="4">
        <v>0</v>
      </c>
      <c r="E849" s="4">
        <v>0</v>
      </c>
      <c r="F849" s="4">
        <v>2</v>
      </c>
      <c r="G849" s="4">
        <v>2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</row>
    <row r="850" spans="1:12">
      <c r="A850" s="3" t="s">
        <v>152</v>
      </c>
      <c r="B850" s="4">
        <v>4</v>
      </c>
      <c r="C850" s="4" t="s">
        <v>52</v>
      </c>
      <c r="D850" s="4">
        <v>0</v>
      </c>
      <c r="E850" s="4">
        <v>0</v>
      </c>
      <c r="F850" s="4">
        <v>1</v>
      </c>
      <c r="G850" s="4">
        <v>1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</row>
    <row r="851" spans="1:12">
      <c r="A851" s="3" t="s">
        <v>152</v>
      </c>
      <c r="B851" s="4">
        <v>5</v>
      </c>
      <c r="C851" s="4" t="s">
        <v>52</v>
      </c>
      <c r="D851" s="4">
        <v>70</v>
      </c>
      <c r="E851" s="4">
        <v>70</v>
      </c>
      <c r="F851" s="4">
        <v>68</v>
      </c>
      <c r="G851" s="4">
        <v>68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</row>
    <row r="852" spans="1:12">
      <c r="A852" s="3" t="s">
        <v>152</v>
      </c>
      <c r="B852" s="4">
        <v>6</v>
      </c>
      <c r="C852" s="4" t="s">
        <v>52</v>
      </c>
      <c r="D852" s="4">
        <v>17</v>
      </c>
      <c r="E852" s="4">
        <v>17</v>
      </c>
      <c r="F852" s="4">
        <v>2</v>
      </c>
      <c r="G852" s="4">
        <v>2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</row>
    <row r="853" spans="1:12">
      <c r="A853" s="3" t="s">
        <v>152</v>
      </c>
      <c r="B853" s="4">
        <v>7</v>
      </c>
      <c r="C853" s="4" t="s">
        <v>52</v>
      </c>
      <c r="D853" s="4">
        <v>13</v>
      </c>
      <c r="E853" s="4">
        <v>13</v>
      </c>
      <c r="F853" s="4">
        <v>1</v>
      </c>
      <c r="G853" s="4">
        <v>1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</row>
    <row r="854" spans="1:12">
      <c r="A854" s="3" t="s">
        <v>152</v>
      </c>
      <c r="B854" s="4">
        <v>8</v>
      </c>
      <c r="C854" s="4" t="s">
        <v>52</v>
      </c>
      <c r="D854" s="4">
        <v>10</v>
      </c>
      <c r="E854" s="4">
        <v>10</v>
      </c>
      <c r="F854" s="4">
        <v>4</v>
      </c>
      <c r="G854" s="4">
        <v>4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</row>
    <row r="855" spans="1:12">
      <c r="A855" s="3" t="s">
        <v>152</v>
      </c>
      <c r="B855" s="4">
        <v>9</v>
      </c>
      <c r="C855" s="4" t="s">
        <v>52</v>
      </c>
      <c r="D855" s="4">
        <v>16</v>
      </c>
      <c r="E855" s="4">
        <v>16</v>
      </c>
      <c r="F855" s="4">
        <v>69</v>
      </c>
      <c r="G855" s="4">
        <v>69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</row>
    <row r="856" spans="1:12">
      <c r="A856" s="3" t="s">
        <v>152</v>
      </c>
      <c r="B856" s="4">
        <v>10</v>
      </c>
      <c r="C856" s="4" t="s">
        <v>52</v>
      </c>
      <c r="D856" s="4">
        <v>14</v>
      </c>
      <c r="E856" s="4">
        <v>14</v>
      </c>
      <c r="F856" s="4">
        <v>1</v>
      </c>
      <c r="G856" s="4">
        <v>1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</row>
    <row r="857" spans="1:12">
      <c r="A857" s="3" t="s">
        <v>152</v>
      </c>
      <c r="B857" s="4">
        <v>11</v>
      </c>
      <c r="C857" s="4" t="s">
        <v>52</v>
      </c>
      <c r="D857" s="4">
        <v>13</v>
      </c>
      <c r="E857" s="4">
        <v>13</v>
      </c>
      <c r="F857" s="4">
        <v>94</v>
      </c>
      <c r="G857" s="4">
        <v>94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</row>
    <row r="858" spans="1:12">
      <c r="A858" s="3" t="s">
        <v>152</v>
      </c>
      <c r="B858" s="4">
        <v>12</v>
      </c>
      <c r="C858" s="4" t="s">
        <v>52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</row>
    <row r="859" spans="1:12">
      <c r="A859" s="3" t="s">
        <v>153</v>
      </c>
      <c r="B859" s="4">
        <v>9</v>
      </c>
      <c r="C859" s="4" t="s">
        <v>31</v>
      </c>
      <c r="D859" s="4">
        <v>220</v>
      </c>
      <c r="E859" s="4">
        <v>220</v>
      </c>
      <c r="F859" s="4">
        <v>109</v>
      </c>
      <c r="G859" s="4">
        <v>109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</row>
    <row r="860" spans="1:12">
      <c r="A860" s="3" t="s">
        <v>153</v>
      </c>
      <c r="B860" s="4">
        <v>10</v>
      </c>
      <c r="C860" s="4" t="s">
        <v>31</v>
      </c>
      <c r="D860" s="4">
        <v>19</v>
      </c>
      <c r="E860" s="4">
        <v>19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</row>
    <row r="861" spans="1:12">
      <c r="A861" s="3" t="s">
        <v>153</v>
      </c>
      <c r="B861" s="4">
        <v>11</v>
      </c>
      <c r="C861" s="4" t="s">
        <v>31</v>
      </c>
      <c r="D861" s="4">
        <v>150</v>
      </c>
      <c r="E861" s="4">
        <v>150</v>
      </c>
      <c r="F861" s="4">
        <v>24</v>
      </c>
      <c r="G861" s="4">
        <v>24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</row>
    <row r="862" spans="1:12">
      <c r="A862" s="3" t="s">
        <v>153</v>
      </c>
      <c r="B862" s="4">
        <v>12</v>
      </c>
      <c r="C862" s="4" t="s">
        <v>31</v>
      </c>
      <c r="D862" s="4">
        <v>15</v>
      </c>
      <c r="E862" s="4">
        <v>15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</row>
    <row r="863" spans="1:12">
      <c r="A863" s="3" t="s">
        <v>154</v>
      </c>
      <c r="B863" s="4">
        <v>9</v>
      </c>
      <c r="C863" s="4" t="s">
        <v>31</v>
      </c>
      <c r="D863" s="4">
        <v>150</v>
      </c>
      <c r="E863" s="4">
        <v>150</v>
      </c>
      <c r="F863" s="4">
        <v>109</v>
      </c>
      <c r="G863" s="4">
        <v>109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</row>
    <row r="864" spans="1:12">
      <c r="A864" s="3" t="s">
        <v>154</v>
      </c>
      <c r="B864" s="4">
        <v>10</v>
      </c>
      <c r="C864" s="4" t="s">
        <v>31</v>
      </c>
      <c r="D864" s="4">
        <v>2</v>
      </c>
      <c r="E864" s="4">
        <v>2</v>
      </c>
      <c r="F864" s="4">
        <v>1</v>
      </c>
      <c r="G864" s="4">
        <v>1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</row>
    <row r="865" spans="1:12">
      <c r="A865" s="3" t="s">
        <v>154</v>
      </c>
      <c r="B865" s="4">
        <v>11</v>
      </c>
      <c r="C865" s="4" t="s">
        <v>31</v>
      </c>
      <c r="D865" s="4">
        <v>150</v>
      </c>
      <c r="E865" s="4">
        <v>150</v>
      </c>
      <c r="F865" s="4">
        <v>22</v>
      </c>
      <c r="G865" s="4">
        <v>22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</row>
    <row r="866" spans="1:12">
      <c r="A866" s="3" t="s">
        <v>154</v>
      </c>
      <c r="B866" s="4">
        <v>12</v>
      </c>
      <c r="C866" s="4" t="s">
        <v>31</v>
      </c>
      <c r="D866" s="4">
        <v>13</v>
      </c>
      <c r="E866" s="4">
        <v>13</v>
      </c>
      <c r="F866" s="4">
        <v>1</v>
      </c>
      <c r="G866" s="4">
        <v>1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</row>
    <row r="867" spans="1:12">
      <c r="A867" s="3" t="s">
        <v>155</v>
      </c>
      <c r="B867" s="4">
        <v>9</v>
      </c>
      <c r="C867" s="4" t="s">
        <v>31</v>
      </c>
      <c r="D867" s="4">
        <v>150</v>
      </c>
      <c r="E867" s="4">
        <v>150</v>
      </c>
      <c r="F867" s="4">
        <v>9</v>
      </c>
      <c r="G867" s="4">
        <v>9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</row>
    <row r="868" spans="1:12">
      <c r="A868" s="3" t="s">
        <v>155</v>
      </c>
      <c r="B868" s="4">
        <v>10</v>
      </c>
      <c r="C868" s="4" t="s">
        <v>31</v>
      </c>
      <c r="D868" s="4">
        <v>5</v>
      </c>
      <c r="E868" s="4">
        <v>5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</row>
    <row r="869" spans="1:12">
      <c r="A869" s="3" t="s">
        <v>155</v>
      </c>
      <c r="B869" s="4">
        <v>11</v>
      </c>
      <c r="C869" s="4" t="s">
        <v>31</v>
      </c>
      <c r="D869" s="4">
        <v>120</v>
      </c>
      <c r="E869" s="4">
        <v>120</v>
      </c>
      <c r="F869" s="4">
        <v>12</v>
      </c>
      <c r="G869" s="4">
        <v>12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</row>
    <row r="870" spans="1:12">
      <c r="A870" s="3" t="s">
        <v>155</v>
      </c>
      <c r="B870" s="4">
        <v>11</v>
      </c>
      <c r="C870" s="4" t="s">
        <v>52</v>
      </c>
      <c r="D870" s="4">
        <v>120</v>
      </c>
      <c r="E870" s="4">
        <v>120</v>
      </c>
      <c r="F870" s="4">
        <v>98</v>
      </c>
      <c r="G870" s="4">
        <v>98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</row>
    <row r="871" spans="1:12">
      <c r="A871" s="3" t="s">
        <v>155</v>
      </c>
      <c r="B871" s="4">
        <v>12</v>
      </c>
      <c r="C871" s="4" t="s">
        <v>31</v>
      </c>
      <c r="D871" s="4">
        <v>24</v>
      </c>
      <c r="E871" s="4">
        <v>24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</row>
    <row r="872" spans="1:12">
      <c r="A872" s="3" t="s">
        <v>156</v>
      </c>
      <c r="B872" s="4">
        <v>8</v>
      </c>
      <c r="C872" s="4" t="s">
        <v>31</v>
      </c>
      <c r="D872" s="4">
        <v>16</v>
      </c>
      <c r="E872" s="4">
        <v>16</v>
      </c>
      <c r="F872" s="4">
        <v>2</v>
      </c>
      <c r="G872" s="4">
        <v>2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</row>
    <row r="873" spans="1:12">
      <c r="A873" s="3" t="s">
        <v>156</v>
      </c>
      <c r="B873" s="4">
        <v>9</v>
      </c>
      <c r="C873" s="4" t="s">
        <v>31</v>
      </c>
      <c r="D873" s="4">
        <v>32</v>
      </c>
      <c r="E873" s="4">
        <v>32</v>
      </c>
      <c r="F873" s="4">
        <v>1</v>
      </c>
      <c r="G873" s="4">
        <v>1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</row>
    <row r="874" spans="1:12">
      <c r="A874" s="3" t="s">
        <v>156</v>
      </c>
      <c r="B874" s="4">
        <v>10</v>
      </c>
      <c r="C874" s="4" t="s">
        <v>31</v>
      </c>
      <c r="D874" s="4">
        <v>0</v>
      </c>
      <c r="E874" s="4">
        <v>0</v>
      </c>
      <c r="F874" s="4">
        <v>1</v>
      </c>
      <c r="G874" s="4">
        <v>1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</row>
    <row r="875" spans="1:12">
      <c r="A875" s="3" t="s">
        <v>157</v>
      </c>
      <c r="B875" s="4">
        <v>1</v>
      </c>
      <c r="C875" s="4" t="s">
        <v>31</v>
      </c>
      <c r="D875" s="4">
        <v>96</v>
      </c>
      <c r="E875" s="4">
        <v>96</v>
      </c>
      <c r="F875" s="4">
        <v>149</v>
      </c>
      <c r="G875" s="4">
        <v>149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</row>
    <row r="876" spans="1:12">
      <c r="A876" s="3" t="s">
        <v>157</v>
      </c>
      <c r="B876" s="4">
        <v>2</v>
      </c>
      <c r="C876" s="4" t="s">
        <v>31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</row>
    <row r="877" spans="1:12">
      <c r="A877" s="3" t="s">
        <v>157</v>
      </c>
      <c r="B877" s="4">
        <v>3</v>
      </c>
      <c r="C877" s="4" t="s">
        <v>31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</row>
    <row r="878" spans="1:12">
      <c r="A878" s="3" t="s">
        <v>157</v>
      </c>
      <c r="B878" s="4">
        <v>4</v>
      </c>
      <c r="C878" s="4" t="s">
        <v>31</v>
      </c>
      <c r="D878" s="4">
        <v>0</v>
      </c>
      <c r="E878" s="4">
        <v>0</v>
      </c>
      <c r="F878" s="4">
        <v>1</v>
      </c>
      <c r="G878" s="4">
        <v>1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</row>
    <row r="879" spans="1:12">
      <c r="A879" s="3" t="s">
        <v>157</v>
      </c>
      <c r="B879" s="4">
        <v>5</v>
      </c>
      <c r="C879" s="4" t="s">
        <v>31</v>
      </c>
      <c r="D879" s="4">
        <v>49</v>
      </c>
      <c r="E879" s="4">
        <v>49</v>
      </c>
      <c r="F879" s="4">
        <v>104</v>
      </c>
      <c r="G879" s="4">
        <v>104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</row>
    <row r="880" spans="1:12">
      <c r="A880" s="3" t="s">
        <v>157</v>
      </c>
      <c r="B880" s="4">
        <v>7</v>
      </c>
      <c r="C880" s="4" t="s">
        <v>31</v>
      </c>
      <c r="D880" s="4">
        <v>5</v>
      </c>
      <c r="E880" s="4">
        <v>5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</row>
    <row r="881" spans="1:12">
      <c r="A881" s="3" t="s">
        <v>157</v>
      </c>
      <c r="B881" s="4">
        <v>8</v>
      </c>
      <c r="C881" s="4" t="s">
        <v>31</v>
      </c>
      <c r="D881" s="4">
        <v>5</v>
      </c>
      <c r="E881" s="4">
        <v>5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</row>
    <row r="882" spans="1:12">
      <c r="A882" s="3" t="s">
        <v>158</v>
      </c>
      <c r="B882" s="4">
        <v>1</v>
      </c>
      <c r="C882" s="4" t="s">
        <v>31</v>
      </c>
      <c r="D882" s="4">
        <v>14</v>
      </c>
      <c r="E882" s="4">
        <v>14</v>
      </c>
      <c r="F882" s="4">
        <v>12</v>
      </c>
      <c r="G882" s="4">
        <v>12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</row>
    <row r="883" spans="1:12">
      <c r="A883" s="3" t="s">
        <v>158</v>
      </c>
      <c r="B883" s="4">
        <v>1</v>
      </c>
      <c r="C883" s="4" t="s">
        <v>52</v>
      </c>
      <c r="D883" s="4">
        <v>7</v>
      </c>
      <c r="E883" s="4">
        <v>7</v>
      </c>
      <c r="F883" s="4">
        <v>4</v>
      </c>
      <c r="G883" s="4">
        <v>4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</row>
    <row r="884" spans="1:12">
      <c r="A884" s="3" t="s">
        <v>158</v>
      </c>
      <c r="B884" s="4">
        <v>2</v>
      </c>
      <c r="C884" s="4" t="s">
        <v>31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</row>
    <row r="885" spans="1:12">
      <c r="A885" s="3" t="s">
        <v>158</v>
      </c>
      <c r="B885" s="4">
        <v>3</v>
      </c>
      <c r="C885" s="4" t="s">
        <v>31</v>
      </c>
      <c r="D885" s="4">
        <v>1</v>
      </c>
      <c r="E885" s="4">
        <v>1</v>
      </c>
      <c r="F885" s="4">
        <v>1</v>
      </c>
      <c r="G885" s="4">
        <v>1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</row>
    <row r="886" spans="1:12">
      <c r="A886" s="3" t="s">
        <v>158</v>
      </c>
      <c r="B886" s="4">
        <v>3</v>
      </c>
      <c r="C886" s="4" t="s">
        <v>52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</row>
    <row r="887" spans="1:12">
      <c r="A887" s="3" t="s">
        <v>158</v>
      </c>
      <c r="B887" s="4">
        <v>4</v>
      </c>
      <c r="C887" s="4" t="s">
        <v>31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</row>
    <row r="888" spans="1:12">
      <c r="A888" s="3" t="s">
        <v>158</v>
      </c>
      <c r="B888" s="4">
        <v>4</v>
      </c>
      <c r="C888" s="4" t="s">
        <v>52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</row>
    <row r="889" spans="1:12">
      <c r="A889" s="3" t="s">
        <v>158</v>
      </c>
      <c r="B889" s="4">
        <v>5</v>
      </c>
      <c r="C889" s="4" t="s">
        <v>31</v>
      </c>
      <c r="D889" s="4">
        <v>15</v>
      </c>
      <c r="E889" s="4">
        <v>15</v>
      </c>
      <c r="F889" s="4">
        <v>19</v>
      </c>
      <c r="G889" s="4">
        <v>19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</row>
    <row r="890" spans="1:12">
      <c r="A890" s="3" t="s">
        <v>158</v>
      </c>
      <c r="B890" s="4">
        <v>5</v>
      </c>
      <c r="C890" s="4" t="s">
        <v>52</v>
      </c>
      <c r="D890" s="4">
        <v>7</v>
      </c>
      <c r="E890" s="4">
        <v>7</v>
      </c>
      <c r="F890" s="4">
        <v>7</v>
      </c>
      <c r="G890" s="4">
        <v>7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</row>
    <row r="891" spans="1:12">
      <c r="A891" s="3" t="s">
        <v>158</v>
      </c>
      <c r="B891" s="4">
        <v>6</v>
      </c>
      <c r="C891" s="4" t="s">
        <v>31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</row>
    <row r="892" spans="1:12">
      <c r="A892" s="3" t="s">
        <v>158</v>
      </c>
      <c r="B892" s="4">
        <v>6</v>
      </c>
      <c r="C892" s="4" t="s">
        <v>52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</row>
    <row r="893" spans="1:12">
      <c r="A893" s="3" t="s">
        <v>158</v>
      </c>
      <c r="B893" s="4">
        <v>7</v>
      </c>
      <c r="C893" s="4" t="s">
        <v>31</v>
      </c>
      <c r="D893" s="4">
        <v>0</v>
      </c>
      <c r="E893" s="4">
        <v>0</v>
      </c>
      <c r="F893" s="4">
        <v>1</v>
      </c>
      <c r="G893" s="4">
        <v>1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</row>
    <row r="894" spans="1:12">
      <c r="A894" s="3" t="s">
        <v>158</v>
      </c>
      <c r="B894" s="4">
        <v>8</v>
      </c>
      <c r="C894" s="4" t="s">
        <v>31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</row>
    <row r="895" spans="1:12">
      <c r="A895" s="3" t="s">
        <v>158</v>
      </c>
      <c r="B895" s="4">
        <v>9</v>
      </c>
      <c r="C895" s="4" t="s">
        <v>31</v>
      </c>
      <c r="D895" s="4">
        <v>13</v>
      </c>
      <c r="E895" s="4">
        <v>13</v>
      </c>
      <c r="F895" s="4">
        <v>11</v>
      </c>
      <c r="G895" s="4">
        <v>11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</row>
    <row r="896" spans="1:12">
      <c r="A896" s="3" t="s">
        <v>158</v>
      </c>
      <c r="B896" s="4">
        <v>10</v>
      </c>
      <c r="C896" s="4" t="s">
        <v>31</v>
      </c>
      <c r="D896" s="4">
        <v>0</v>
      </c>
      <c r="E896" s="4">
        <v>0</v>
      </c>
      <c r="F896" s="4">
        <v>3</v>
      </c>
      <c r="G896" s="4">
        <v>3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</row>
    <row r="897" spans="1:12">
      <c r="A897" s="3" t="s">
        <v>158</v>
      </c>
      <c r="B897" s="4">
        <v>10</v>
      </c>
      <c r="C897" s="4" t="s">
        <v>52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</row>
    <row r="898" spans="1:12">
      <c r="A898" s="3" t="s">
        <v>158</v>
      </c>
      <c r="B898" s="4">
        <v>11</v>
      </c>
      <c r="C898" s="4" t="s">
        <v>31</v>
      </c>
      <c r="D898" s="4">
        <v>14</v>
      </c>
      <c r="E898" s="4">
        <v>14</v>
      </c>
      <c r="F898" s="4">
        <v>8</v>
      </c>
      <c r="G898" s="4">
        <v>8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Duomenys metiniai bakalaurui</vt:lpstr>
      <vt:lpstr>Bruto viesasis sektorius</vt:lpstr>
      <vt:lpstr>Duomenys metiniai</vt:lpstr>
      <vt:lpstr>Amžiaus koeficientas</vt:lpstr>
      <vt:lpstr>Autobusai</vt:lpstr>
      <vt:lpstr>Autobusu keleiviai</vt:lpstr>
      <vt:lpstr>Mokinių sk.</vt:lpstr>
      <vt:lpstr>Pirmokų amžius</vt:lpstr>
      <vt:lpstr>Dvyliktoku amžius</vt:lpstr>
      <vt:lpstr>Patekimas į mokyklas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Emilija Levkovic</dc:creator>
  <cp:lastModifiedBy>Emilija Simanavičienė</cp:lastModifiedBy>
  <dcterms:created xsi:type="dcterms:W3CDTF">2026-02-10T12:10:56Z</dcterms:created>
  <dcterms:modified xsi:type="dcterms:W3CDTF">2026-05-14T08:43:36Z</dcterms:modified>
</cp:coreProperties>
</file>